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9.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tables/table1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C:\Users\Pedidito\Desktop\"/>
    </mc:Choice>
  </mc:AlternateContent>
  <xr:revisionPtr revIDLastSave="0" documentId="13_ncr:1_{B053C803-BAAB-49C6-A6C4-E008F2BAD475}" xr6:coauthVersionLast="47" xr6:coauthVersionMax="47" xr10:uidLastSave="{00000000-0000-0000-0000-000000000000}"/>
  <bookViews>
    <workbookView xWindow="-120" yWindow="-120" windowWidth="19440" windowHeight="15000" firstSheet="1" activeTab="3" xr2:uid="{BE3864D8-72A4-4A39-8A47-FE54C08BFFC2}"/>
  </bookViews>
  <sheets>
    <sheet name="CORTE" sheetId="9" r:id="rId1"/>
    <sheet name="Clientes" sheetId="11" r:id="rId2"/>
    <sheet name="Base Pedidito" sheetId="1" r:id="rId3"/>
    <sheet name="Panel de control" sheetId="17" r:id="rId4"/>
    <sheet name="Costco" sheetId="13" r:id="rId5"/>
    <sheet name="RESUMEN DE MES HISTORIAL" sheetId="14" r:id="rId6"/>
    <sheet name="Productos" sheetId="15" r:id="rId7"/>
    <sheet name="Proveedores" sheetId="12" r:id="rId8"/>
    <sheet name="Beneficios " sheetId="16" r:id="rId9"/>
    <sheet name="Almacen" sheetId="5" r:id="rId10"/>
    <sheet name="Control de Documentos" sheetId="7" r:id="rId11"/>
  </sheets>
  <functionGroups builtInGroupCount="19"/>
  <externalReferences>
    <externalReference r:id="rId12"/>
    <externalReference r:id="rId13"/>
    <externalReference r:id="rId14"/>
  </externalReferences>
  <definedNames>
    <definedName name="_xlnm._FilterDatabase" localSheetId="5" hidden="1">'RESUMEN DE MES HISTORIAL'!$A$2:$I$4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7" l="1"/>
  <c r="E76" i="11" l="1"/>
  <c r="F76" i="11"/>
  <c r="E75" i="11"/>
  <c r="F75" i="11"/>
  <c r="E74" i="11"/>
  <c r="F74" i="11"/>
  <c r="C42" i="12" a="1"/>
  <c r="C42" i="12" s="1"/>
  <c r="M4" i="14"/>
  <c r="M5" i="14"/>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3" i="14"/>
  <c r="G76" i="11" a="1"/>
  <c r="G75" i="11" a="1"/>
  <c r="D42" i="12" a="1"/>
  <c r="G74" i="11" a="1"/>
  <c r="G76" i="11" l="1"/>
  <c r="G75" i="11"/>
  <c r="G74" i="11"/>
  <c r="D42" i="12"/>
  <c r="C41" i="12" a="1"/>
  <c r="C41" i="12" s="1"/>
  <c r="E73" i="11"/>
  <c r="F73" i="11"/>
  <c r="C40" i="12" a="1"/>
  <c r="C40" i="12" s="1"/>
  <c r="D40" i="12" a="1"/>
  <c r="D41" i="12" a="1"/>
  <c r="G73" i="11" a="1"/>
  <c r="D41" i="12" l="1"/>
  <c r="G73" i="11"/>
  <c r="D40" i="12"/>
  <c r="E72" i="11" l="1"/>
  <c r="F72" i="11"/>
  <c r="E71" i="11"/>
  <c r="F71" i="11"/>
  <c r="E70" i="11"/>
  <c r="F70" i="11"/>
  <c r="E69" i="11"/>
  <c r="F69" i="11"/>
  <c r="E68" i="11"/>
  <c r="F68" i="11"/>
  <c r="G68" i="11" a="1"/>
  <c r="G71" i="11" a="1"/>
  <c r="G69" i="11" a="1"/>
  <c r="G70" i="11" a="1"/>
  <c r="G72" i="11" a="1"/>
  <c r="G72" i="11" l="1"/>
  <c r="G71" i="11"/>
  <c r="G70" i="11"/>
  <c r="G69" i="11"/>
  <c r="G68" i="11"/>
  <c r="M300" i="14" l="1"/>
  <c r="M299" i="14"/>
  <c r="M298" i="14"/>
  <c r="M297" i="14"/>
  <c r="M296" i="14"/>
  <c r="M295" i="14"/>
  <c r="M294" i="14"/>
  <c r="M293" i="14"/>
  <c r="E22" i="9"/>
  <c r="E23" i="9"/>
  <c r="E24" i="9"/>
  <c r="E25" i="9"/>
  <c r="G23" i="9"/>
  <c r="F23" i="9"/>
  <c r="E67" i="11"/>
  <c r="F67" i="11"/>
  <c r="C39" i="12" a="1"/>
  <c r="C39" i="12" s="1"/>
  <c r="E66" i="11"/>
  <c r="F66" i="11"/>
  <c r="G67" i="11" a="1"/>
  <c r="D39" i="12" a="1"/>
  <c r="G66" i="11" a="1"/>
  <c r="H23" i="9" l="1"/>
  <c r="G67" i="11"/>
  <c r="D39" i="12"/>
  <c r="G66" i="11"/>
  <c r="M301" i="14" l="1"/>
  <c r="M302" i="14"/>
  <c r="M303" i="14"/>
  <c r="C38" i="12" a="1"/>
  <c r="C38" i="12" s="1"/>
  <c r="E65" i="11"/>
  <c r="F65" i="11"/>
  <c r="C37" i="12" a="1"/>
  <c r="C37" i="12" s="1"/>
  <c r="D38" i="12" a="1"/>
  <c r="G65" i="11" a="1"/>
  <c r="D37" i="12" a="1"/>
  <c r="D38" i="12" l="1"/>
  <c r="G65" i="11"/>
  <c r="D37" i="12"/>
  <c r="C36" i="12" l="1" a="1"/>
  <c r="C36" i="12" s="1"/>
  <c r="G25" i="9"/>
  <c r="F25" i="9"/>
  <c r="E26" i="9"/>
  <c r="F2" i="9" s="1"/>
  <c r="G26" i="9"/>
  <c r="F26" i="9"/>
  <c r="D36" i="12" a="1"/>
  <c r="D36" i="12" l="1"/>
  <c r="H25" i="9"/>
  <c r="J25" i="9" s="1"/>
  <c r="H26" i="9"/>
  <c r="E63" i="11"/>
  <c r="F63" i="11"/>
  <c r="F16" i="11"/>
  <c r="E16" i="11"/>
  <c r="E62" i="11"/>
  <c r="F62" i="11"/>
  <c r="E43" i="11"/>
  <c r="F43" i="11"/>
  <c r="E27" i="11"/>
  <c r="F27" i="11"/>
  <c r="F26" i="11"/>
  <c r="F44" i="11"/>
  <c r="F42" i="11"/>
  <c r="F59" i="11"/>
  <c r="F60" i="11"/>
  <c r="F14" i="11"/>
  <c r="F61" i="11"/>
  <c r="E26" i="11"/>
  <c r="E44" i="11"/>
  <c r="E42" i="11"/>
  <c r="E59" i="11"/>
  <c r="E60" i="11"/>
  <c r="E14" i="11"/>
  <c r="E61" i="11"/>
  <c r="F15" i="11"/>
  <c r="C3" i="12" a="1"/>
  <c r="C3" i="12" s="1"/>
  <c r="D35" i="12" a="1"/>
  <c r="G57" i="11" a="1"/>
  <c r="G39" i="11" a="1"/>
  <c r="D29" i="12" a="1"/>
  <c r="G59" i="11" a="1"/>
  <c r="D31" i="12" a="1"/>
  <c r="G18" i="11" a="1"/>
  <c r="G60" i="11" a="1"/>
  <c r="G24" i="11" a="1"/>
  <c r="G6" i="11" a="1"/>
  <c r="G62" i="11" a="1"/>
  <c r="D14" i="12" a="1"/>
  <c r="G64" i="11" a="1"/>
  <c r="D15" i="12" a="1"/>
  <c r="D19" i="12" a="1"/>
  <c r="G34" i="11" a="1"/>
  <c r="D6" i="12" a="1"/>
  <c r="G36" i="11" a="1"/>
  <c r="D23" i="12" a="1"/>
  <c r="G12" i="11" a="1"/>
  <c r="D7" i="12" a="1"/>
  <c r="G44" i="11" a="1"/>
  <c r="G5" i="11" a="1"/>
  <c r="D11" i="12" a="1"/>
  <c r="G32" i="11" a="1"/>
  <c r="D32" i="12" a="1"/>
  <c r="G33" i="11" a="1"/>
  <c r="D34" i="12" a="1"/>
  <c r="G49" i="11" a="1"/>
  <c r="G16" i="11" a="1"/>
  <c r="G26" i="11" a="1"/>
  <c r="G58" i="11" a="1"/>
  <c r="G52" i="11" a="1"/>
  <c r="G40" i="11" a="1"/>
  <c r="D18" i="12" a="1"/>
  <c r="G30" i="11" a="1"/>
  <c r="G8" i="11" a="1"/>
  <c r="G15" i="11" a="1"/>
  <c r="D28" i="12" a="1"/>
  <c r="D21" i="12" a="1"/>
  <c r="D5" i="12" a="1"/>
  <c r="G9" i="11" a="1"/>
  <c r="G41" i="11" a="1"/>
  <c r="G22" i="11" a="1"/>
  <c r="G27" i="11" a="1"/>
  <c r="D16" i="12" a="1"/>
  <c r="G31" i="11" a="1"/>
  <c r="G38" i="11" a="1"/>
  <c r="G45" i="11" a="1"/>
  <c r="D8" i="12" a="1"/>
  <c r="G42" i="11" a="1"/>
  <c r="G14" i="11" a="1"/>
  <c r="G54" i="11" a="1"/>
  <c r="G51" i="11" a="1"/>
  <c r="D17" i="12" a="1"/>
  <c r="G35" i="11" a="1"/>
  <c r="D10" i="12" a="1"/>
  <c r="D22" i="12" a="1"/>
  <c r="G47" i="11" a="1"/>
  <c r="G20" i="11" a="1"/>
  <c r="G19" i="11" a="1"/>
  <c r="D25" i="12" a="1"/>
  <c r="D12" i="12" a="1"/>
  <c r="G61" i="11" a="1"/>
  <c r="G7" i="11" a="1"/>
  <c r="G23" i="11" a="1"/>
  <c r="G10" i="11" a="1"/>
  <c r="D20" i="12" a="1"/>
  <c r="G55" i="11" a="1"/>
  <c r="G28" i="11" a="1"/>
  <c r="G11" i="11" a="1"/>
  <c r="G21" i="11" a="1"/>
  <c r="G48" i="11" a="1"/>
  <c r="D33" i="12" a="1"/>
  <c r="G25" i="11" a="1"/>
  <c r="G56" i="11" a="1"/>
  <c r="D24" i="12" a="1"/>
  <c r="D13" i="12" a="1"/>
  <c r="D9" i="12" a="1"/>
  <c r="G46" i="11" a="1"/>
  <c r="D26" i="12" a="1"/>
  <c r="G37" i="11" a="1"/>
  <c r="G17" i="11" a="1"/>
  <c r="D27" i="12" a="1"/>
  <c r="G53" i="11" a="1"/>
  <c r="G43" i="11" a="1"/>
  <c r="G29" i="11" a="1"/>
  <c r="D30" i="12" a="1"/>
  <c r="G13" i="11" a="1"/>
  <c r="G50" i="11" a="1"/>
  <c r="D4" i="12" a="1"/>
  <c r="G63" i="11" a="1"/>
  <c r="I25" i="9" l="1"/>
  <c r="I26" i="9"/>
  <c r="J26" i="9"/>
  <c r="G63" i="11"/>
  <c r="G62" i="11"/>
  <c r="G43" i="11"/>
  <c r="G27" i="11"/>
  <c r="G59" i="11"/>
  <c r="G41" i="11"/>
  <c r="G24" i="11"/>
  <c r="G22" i="11"/>
  <c r="G52" i="11"/>
  <c r="G51" i="11"/>
  <c r="G50" i="11"/>
  <c r="G31" i="11"/>
  <c r="G29" i="11"/>
  <c r="G16" i="11"/>
  <c r="G6" i="11"/>
  <c r="G25" i="11"/>
  <c r="G36" i="11"/>
  <c r="G47" i="11"/>
  <c r="G61" i="11"/>
  <c r="G42" i="11"/>
  <c r="G58" i="11"/>
  <c r="G56" i="11"/>
  <c r="G37" i="11"/>
  <c r="G55" i="11"/>
  <c r="G13" i="11"/>
  <c r="G8" i="11"/>
  <c r="G21" i="11"/>
  <c r="G49" i="11"/>
  <c r="G64" i="11"/>
  <c r="G12" i="11"/>
  <c r="G5" i="11"/>
  <c r="G14" i="11"/>
  <c r="G44" i="11"/>
  <c r="G40" i="11"/>
  <c r="G39" i="11"/>
  <c r="G11" i="11"/>
  <c r="G23" i="11"/>
  <c r="G19" i="11"/>
  <c r="G35" i="11"/>
  <c r="G34" i="11"/>
  <c r="G18" i="11"/>
  <c r="G10" i="11"/>
  <c r="G17" i="11"/>
  <c r="G9" i="11"/>
  <c r="G7" i="11"/>
  <c r="G15" i="11"/>
  <c r="G60" i="11"/>
  <c r="G26" i="11"/>
  <c r="G57" i="11"/>
  <c r="G38" i="11"/>
  <c r="G20" i="11"/>
  <c r="G54" i="11"/>
  <c r="G53" i="11"/>
  <c r="G33" i="11"/>
  <c r="G32" i="11"/>
  <c r="G48" i="11"/>
  <c r="G30" i="11"/>
  <c r="G46" i="11"/>
  <c r="G45" i="11"/>
  <c r="G28" i="11"/>
  <c r="D17" i="12"/>
  <c r="D8" i="12"/>
  <c r="D31" i="12"/>
  <c r="D26" i="12"/>
  <c r="D6" i="12"/>
  <c r="D32" i="12"/>
  <c r="D20" i="12"/>
  <c r="D19" i="12"/>
  <c r="D21" i="12"/>
  <c r="D29" i="12"/>
  <c r="D23" i="12"/>
  <c r="D22" i="12"/>
  <c r="D15" i="12"/>
  <c r="D34" i="12"/>
  <c r="D25" i="12"/>
  <c r="D13" i="12"/>
  <c r="D14" i="12"/>
  <c r="D7" i="12"/>
  <c r="D12" i="12"/>
  <c r="D28" i="12"/>
  <c r="D18" i="12"/>
  <c r="D16" i="12"/>
  <c r="D4" i="12"/>
  <c r="D33" i="12"/>
  <c r="D24" i="12"/>
  <c r="D5" i="12"/>
  <c r="D35" i="12"/>
  <c r="D10" i="12"/>
  <c r="D30" i="12"/>
  <c r="D27" i="12"/>
  <c r="D11" i="12"/>
  <c r="D9" i="12"/>
  <c r="C19" i="12" a="1"/>
  <c r="C19" i="12" s="1"/>
  <c r="C7" i="12" a="1"/>
  <c r="C7" i="12" s="1"/>
  <c r="K30" i="9"/>
  <c r="J30" i="9" s="1"/>
  <c r="C17" i="12" a="1"/>
  <c r="C17" i="12" s="1"/>
  <c r="J31" i="9"/>
  <c r="I31" i="9"/>
  <c r="C35" i="12" a="1"/>
  <c r="C35" i="12" s="1"/>
  <c r="C21" i="12" a="1"/>
  <c r="C21" i="12" s="1"/>
  <c r="I30" i="9" l="1"/>
  <c r="M304" i="14" l="1"/>
  <c r="M305" i="14"/>
  <c r="A3" i="14"/>
  <c r="G36" i="9"/>
  <c r="F36" i="9"/>
  <c r="F23" i="11"/>
  <c r="F55" i="11"/>
  <c r="F36" i="11"/>
  <c r="F20" i="11"/>
  <c r="F11" i="11"/>
  <c r="F37" i="11"/>
  <c r="F24" i="11"/>
  <c r="F38" i="11"/>
  <c r="F39" i="11"/>
  <c r="F56" i="11"/>
  <c r="F25" i="11"/>
  <c r="F57" i="11"/>
  <c r="F40" i="11"/>
  <c r="F58" i="11"/>
  <c r="F41" i="11"/>
  <c r="E23" i="11"/>
  <c r="E55" i="11"/>
  <c r="E36" i="11"/>
  <c r="E20" i="11"/>
  <c r="E11" i="11"/>
  <c r="E37" i="11"/>
  <c r="E24" i="11"/>
  <c r="E38" i="11"/>
  <c r="E39" i="11"/>
  <c r="E56" i="11"/>
  <c r="E25" i="11"/>
  <c r="E57" i="11"/>
  <c r="E40" i="11"/>
  <c r="E58" i="11"/>
  <c r="E41" i="11"/>
  <c r="A8" i="14" l="1"/>
  <c r="B8" i="14" s="1"/>
  <c r="B9" i="14" s="1"/>
  <c r="A4" i="14"/>
  <c r="A9" i="14"/>
  <c r="H36" i="9"/>
  <c r="I36" i="9" s="1"/>
  <c r="A13" i="14"/>
  <c r="A14" i="14" s="1"/>
  <c r="B3" i="14"/>
  <c r="B4" i="14" s="1"/>
  <c r="I8" i="9"/>
  <c r="J8" i="9"/>
  <c r="F18" i="13"/>
  <c r="C19" i="13"/>
  <c r="D19" i="13"/>
  <c r="F19" i="13"/>
  <c r="C12" i="12" a="1"/>
  <c r="C12" i="12" s="1"/>
  <c r="I38" i="9"/>
  <c r="J38" i="9"/>
  <c r="I39" i="9"/>
  <c r="C11" i="12" a="1"/>
  <c r="C11" i="12" s="1"/>
  <c r="C3" i="14" l="1"/>
  <c r="C4" i="14" s="1"/>
  <c r="C8" i="14"/>
  <c r="C9" i="14" s="1"/>
  <c r="B13" i="14"/>
  <c r="B14" i="14" s="1"/>
  <c r="A18" i="14"/>
  <c r="A19" i="14" s="1"/>
  <c r="E19" i="13"/>
  <c r="C13" i="14" l="1"/>
  <c r="C14" i="14" s="1"/>
  <c r="D8" i="14"/>
  <c r="D9" i="14" s="1"/>
  <c r="D3" i="14"/>
  <c r="D4" i="14" s="1"/>
  <c r="B18" i="14"/>
  <c r="A23" i="14"/>
  <c r="A24" i="14" s="1"/>
  <c r="C34" i="12" a="1"/>
  <c r="C34" i="12" s="1"/>
  <c r="C20" i="12" a="1"/>
  <c r="C20" i="12" s="1"/>
  <c r="I40" i="9"/>
  <c r="J40" i="9" s="1"/>
  <c r="J39" i="9"/>
  <c r="F43" i="9"/>
  <c r="G43" i="9"/>
  <c r="C13" i="12" a="1"/>
  <c r="C13" i="12" s="1"/>
  <c r="C18" i="14" l="1"/>
  <c r="B19" i="14"/>
  <c r="D13" i="14"/>
  <c r="D14" i="14" s="1"/>
  <c r="E3" i="14"/>
  <c r="E4" i="14" s="1"/>
  <c r="E8" i="14"/>
  <c r="E9" i="14" s="1"/>
  <c r="A28" i="14"/>
  <c r="A29" i="14" s="1"/>
  <c r="B23" i="14"/>
  <c r="H43" i="9"/>
  <c r="E13" i="14" l="1"/>
  <c r="E14" i="14" s="1"/>
  <c r="D18" i="14"/>
  <c r="C19" i="14"/>
  <c r="C23" i="14"/>
  <c r="B24" i="14"/>
  <c r="F8" i="14"/>
  <c r="F9" i="14" s="1"/>
  <c r="F3" i="14"/>
  <c r="F4" i="14" s="1"/>
  <c r="B28" i="14"/>
  <c r="B29" i="14" s="1"/>
  <c r="D2" i="1"/>
  <c r="G65" i="9"/>
  <c r="F65" i="9"/>
  <c r="G51" i="9"/>
  <c r="F51" i="9"/>
  <c r="D23" i="14" l="1"/>
  <c r="C24" i="14"/>
  <c r="E18" i="14"/>
  <c r="D19" i="14"/>
  <c r="C28" i="14"/>
  <c r="F13" i="14"/>
  <c r="F14" i="14" s="1"/>
  <c r="G3" i="14"/>
  <c r="G4" i="14" s="1"/>
  <c r="H4" i="14" s="1"/>
  <c r="G8" i="14"/>
  <c r="H65" i="9"/>
  <c r="H51" i="9"/>
  <c r="G9" i="14" l="1"/>
  <c r="H9" i="14" s="1"/>
  <c r="G13" i="14"/>
  <c r="G14" i="14" s="1"/>
  <c r="D28" i="14"/>
  <c r="C29" i="14"/>
  <c r="F18" i="14"/>
  <c r="E19" i="14"/>
  <c r="E23" i="14"/>
  <c r="D24" i="14"/>
  <c r="G47" i="9"/>
  <c r="F47" i="9"/>
  <c r="G48" i="9"/>
  <c r="F48" i="9"/>
  <c r="G50" i="9"/>
  <c r="F50" i="9"/>
  <c r="H14" i="14" l="1"/>
  <c r="F23" i="14"/>
  <c r="E24" i="14"/>
  <c r="G18" i="14"/>
  <c r="G19" i="14" s="1"/>
  <c r="F19" i="14"/>
  <c r="E28" i="14"/>
  <c r="D29" i="14"/>
  <c r="H50" i="9"/>
  <c r="H48" i="9"/>
  <c r="H47" i="9"/>
  <c r="H19" i="14" l="1"/>
  <c r="G23" i="14"/>
  <c r="G24" i="14" s="1"/>
  <c r="F24" i="14"/>
  <c r="F28" i="14"/>
  <c r="E29" i="14"/>
  <c r="F80" i="9"/>
  <c r="H24" i="14" l="1"/>
  <c r="G28" i="14"/>
  <c r="G29" i="14" s="1"/>
  <c r="F29" i="14"/>
  <c r="C27" i="12" a="1"/>
  <c r="C27" i="12" s="1"/>
  <c r="C25" i="12" a="1"/>
  <c r="C25" i="12" s="1"/>
  <c r="C24" i="12" a="1"/>
  <c r="C24" i="12" s="1"/>
  <c r="C6" i="12" a="1"/>
  <c r="C6" i="12" s="1"/>
  <c r="C31" i="12" a="1"/>
  <c r="C31" i="12" s="1"/>
  <c r="C4" i="12" a="1"/>
  <c r="C4" i="12" s="1"/>
  <c r="C32" i="12" a="1"/>
  <c r="C32" i="12" s="1"/>
  <c r="C14" i="12" a="1"/>
  <c r="C14" i="12" s="1"/>
  <c r="C22" i="12" a="1"/>
  <c r="C22" i="12" s="1"/>
  <c r="C5" i="12" a="1"/>
  <c r="C5" i="12" s="1"/>
  <c r="C33" i="12" a="1"/>
  <c r="C33" i="12" s="1"/>
  <c r="C18" i="12" a="1"/>
  <c r="C18" i="12" s="1"/>
  <c r="C26" i="12" a="1"/>
  <c r="C26" i="12" s="1"/>
  <c r="C30" i="12" a="1"/>
  <c r="C30" i="12" s="1"/>
  <c r="C16" i="12" a="1"/>
  <c r="C16" i="12" s="1"/>
  <c r="C15" i="12" a="1"/>
  <c r="C15" i="12" s="1"/>
  <c r="C8" i="12" a="1"/>
  <c r="C8" i="12" s="1"/>
  <c r="C9" i="12" a="1"/>
  <c r="C9" i="12" s="1"/>
  <c r="C23" i="12" a="1"/>
  <c r="C23" i="12" s="1"/>
  <c r="C28" i="12" a="1"/>
  <c r="C28" i="12" s="1"/>
  <c r="C29" i="12" a="1"/>
  <c r="C29" i="12" s="1"/>
  <c r="C10" i="12" a="1"/>
  <c r="C10" i="12" s="1"/>
  <c r="Y3" i="15" a="1"/>
  <c r="Y3" i="15" s="1"/>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112" i="15"/>
  <c r="C113" i="15"/>
  <c r="C114" i="15"/>
  <c r="C115" i="15"/>
  <c r="C116" i="15"/>
  <c r="C117" i="15"/>
  <c r="C118" i="15"/>
  <c r="C119" i="15"/>
  <c r="C120" i="15"/>
  <c r="C121" i="15"/>
  <c r="C122" i="15"/>
  <c r="C123" i="15"/>
  <c r="C124" i="15"/>
  <c r="C125" i="15"/>
  <c r="C126" i="15"/>
  <c r="C127" i="15"/>
  <c r="C128" i="15"/>
  <c r="C129" i="15"/>
  <c r="C130" i="15"/>
  <c r="C131" i="15"/>
  <c r="C132" i="15"/>
  <c r="C133" i="15"/>
  <c r="C134" i="15"/>
  <c r="C135" i="15"/>
  <c r="C136" i="15"/>
  <c r="C137" i="15"/>
  <c r="C138" i="15"/>
  <c r="C139" i="15"/>
  <c r="C140" i="15"/>
  <c r="C141" i="15"/>
  <c r="C142" i="15"/>
  <c r="C143" i="15"/>
  <c r="C144" i="15"/>
  <c r="C145" i="15"/>
  <c r="C146" i="15"/>
  <c r="C147" i="15"/>
  <c r="C148" i="15"/>
  <c r="C149" i="15"/>
  <c r="C150" i="15"/>
  <c r="C151" i="15"/>
  <c r="C152" i="15"/>
  <c r="C153" i="15"/>
  <c r="C154" i="15"/>
  <c r="C155" i="15"/>
  <c r="C156" i="15"/>
  <c r="C157" i="15"/>
  <c r="C158" i="15"/>
  <c r="C159" i="15"/>
  <c r="C160" i="15"/>
  <c r="C161" i="15"/>
  <c r="C162" i="15"/>
  <c r="C163" i="15"/>
  <c r="C164" i="15"/>
  <c r="C165" i="15"/>
  <c r="C166" i="15"/>
  <c r="C167" i="15"/>
  <c r="C168" i="15"/>
  <c r="C169" i="15"/>
  <c r="C170" i="15"/>
  <c r="C171" i="15"/>
  <c r="C172" i="15"/>
  <c r="C173" i="15"/>
  <c r="C174" i="15"/>
  <c r="C175" i="15"/>
  <c r="C176" i="15"/>
  <c r="C177" i="15"/>
  <c r="C178" i="15"/>
  <c r="C179" i="15"/>
  <c r="C180" i="15"/>
  <c r="C181" i="15"/>
  <c r="C182" i="15"/>
  <c r="C183" i="15"/>
  <c r="C184" i="15"/>
  <c r="C185" i="15"/>
  <c r="C186" i="15"/>
  <c r="C187" i="15"/>
  <c r="C188" i="15"/>
  <c r="C189" i="15"/>
  <c r="C190" i="15"/>
  <c r="C191" i="15"/>
  <c r="C192" i="15"/>
  <c r="C193" i="15"/>
  <c r="C194" i="15"/>
  <c r="C195" i="15"/>
  <c r="C196" i="15"/>
  <c r="C197" i="15"/>
  <c r="C198" i="15"/>
  <c r="C199" i="15"/>
  <c r="C200" i="15"/>
  <c r="C201" i="15"/>
  <c r="C202" i="15"/>
  <c r="C203" i="15"/>
  <c r="C204" i="15"/>
  <c r="C205" i="15"/>
  <c r="C206" i="15"/>
  <c r="C207" i="15"/>
  <c r="C208" i="15"/>
  <c r="C209" i="15"/>
  <c r="C210" i="15"/>
  <c r="C211" i="15"/>
  <c r="C212" i="15"/>
  <c r="C213" i="15"/>
  <c r="C214" i="15"/>
  <c r="C215" i="15"/>
  <c r="C216" i="15"/>
  <c r="C217" i="15"/>
  <c r="C218" i="15"/>
  <c r="C219" i="15"/>
  <c r="C220" i="15"/>
  <c r="C221" i="15"/>
  <c r="C222" i="15"/>
  <c r="C223" i="15"/>
  <c r="C224" i="15"/>
  <c r="C225" i="15"/>
  <c r="C226" i="15"/>
  <c r="C227" i="15"/>
  <c r="C228" i="15"/>
  <c r="C229" i="15"/>
  <c r="C230" i="15"/>
  <c r="C231" i="15"/>
  <c r="C232" i="15"/>
  <c r="C233" i="15"/>
  <c r="C234" i="15"/>
  <c r="C235" i="15"/>
  <c r="C236" i="15"/>
  <c r="C237" i="15"/>
  <c r="C238" i="15"/>
  <c r="C239" i="15"/>
  <c r="C240" i="15"/>
  <c r="C241" i="15"/>
  <c r="C242" i="15"/>
  <c r="C243" i="15"/>
  <c r="C244" i="15"/>
  <c r="C245" i="15"/>
  <c r="C246" i="15"/>
  <c r="C247" i="15"/>
  <c r="C248" i="15"/>
  <c r="C249" i="15"/>
  <c r="C250" i="15"/>
  <c r="C251" i="15"/>
  <c r="C252" i="15"/>
  <c r="C253" i="15"/>
  <c r="C254" i="15"/>
  <c r="C255" i="15"/>
  <c r="C256" i="15"/>
  <c r="C257" i="15"/>
  <c r="C258" i="15"/>
  <c r="C259" i="15"/>
  <c r="C260" i="15"/>
  <c r="C261" i="15"/>
  <c r="C262" i="15"/>
  <c r="C263" i="15"/>
  <c r="C264" i="15"/>
  <c r="C265" i="15"/>
  <c r="C266" i="15"/>
  <c r="C267" i="15"/>
  <c r="C268" i="15"/>
  <c r="C269" i="15"/>
  <c r="C270" i="15"/>
  <c r="C271" i="15"/>
  <c r="C272" i="15"/>
  <c r="C273" i="15"/>
  <c r="C274" i="15"/>
  <c r="C275" i="15"/>
  <c r="C276" i="15"/>
  <c r="C277" i="15"/>
  <c r="C278" i="15"/>
  <c r="C279" i="15"/>
  <c r="C280" i="15"/>
  <c r="C281" i="15"/>
  <c r="C282" i="15"/>
  <c r="C283" i="15"/>
  <c r="C284" i="15"/>
  <c r="C285" i="15"/>
  <c r="C286" i="15"/>
  <c r="C287" i="15"/>
  <c r="C288" i="15"/>
  <c r="C289" i="15"/>
  <c r="C290" i="15"/>
  <c r="C291" i="15"/>
  <c r="C292" i="15"/>
  <c r="C293" i="15"/>
  <c r="C294" i="15"/>
  <c r="C295" i="15"/>
  <c r="C296" i="15"/>
  <c r="C297" i="15"/>
  <c r="C298" i="15"/>
  <c r="C299" i="15"/>
  <c r="C300" i="15"/>
  <c r="C301" i="15"/>
  <c r="D3" i="15"/>
  <c r="D4" i="15"/>
  <c r="D5" i="15"/>
  <c r="D6" i="15"/>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104" i="15"/>
  <c r="D105" i="15"/>
  <c r="D106" i="15"/>
  <c r="D107" i="15"/>
  <c r="D108" i="15"/>
  <c r="D109" i="15"/>
  <c r="D110" i="15"/>
  <c r="D111" i="15"/>
  <c r="D112" i="15"/>
  <c r="D113" i="15"/>
  <c r="D114" i="15"/>
  <c r="D115" i="15"/>
  <c r="D116" i="15"/>
  <c r="D117" i="15"/>
  <c r="D118" i="15"/>
  <c r="D119" i="15"/>
  <c r="D120" i="15"/>
  <c r="D121" i="15"/>
  <c r="D122" i="15"/>
  <c r="D123" i="15"/>
  <c r="D124" i="15"/>
  <c r="D125" i="15"/>
  <c r="D126" i="15"/>
  <c r="D127" i="15"/>
  <c r="D128" i="15"/>
  <c r="D129" i="15"/>
  <c r="D130" i="15"/>
  <c r="D131" i="15"/>
  <c r="D132" i="15"/>
  <c r="D133" i="15"/>
  <c r="D134" i="15"/>
  <c r="D135" i="15"/>
  <c r="D136" i="15"/>
  <c r="D137" i="15"/>
  <c r="D138" i="15"/>
  <c r="D139" i="15"/>
  <c r="D140" i="15"/>
  <c r="D141" i="15"/>
  <c r="D142" i="15"/>
  <c r="D143" i="15"/>
  <c r="D144" i="15"/>
  <c r="D145" i="15"/>
  <c r="D146" i="15"/>
  <c r="D147" i="15"/>
  <c r="D148" i="15"/>
  <c r="D149" i="15"/>
  <c r="D150" i="15"/>
  <c r="D151" i="15"/>
  <c r="D152" i="15"/>
  <c r="D153" i="15"/>
  <c r="D154" i="15"/>
  <c r="D155" i="15"/>
  <c r="D156" i="15"/>
  <c r="D157" i="15"/>
  <c r="D158" i="15"/>
  <c r="D159" i="15"/>
  <c r="D160" i="15"/>
  <c r="D161" i="15"/>
  <c r="D162" i="15"/>
  <c r="D163" i="15"/>
  <c r="D164" i="15"/>
  <c r="D165" i="15"/>
  <c r="D166" i="15"/>
  <c r="D167" i="15"/>
  <c r="D168" i="15"/>
  <c r="D169" i="15"/>
  <c r="D170" i="15"/>
  <c r="D171" i="15"/>
  <c r="D172" i="15"/>
  <c r="D173" i="15"/>
  <c r="D174" i="15"/>
  <c r="D175" i="15"/>
  <c r="D176" i="15"/>
  <c r="D177" i="15"/>
  <c r="D178" i="15"/>
  <c r="D179" i="15"/>
  <c r="D180" i="15"/>
  <c r="D181" i="15"/>
  <c r="D182" i="15"/>
  <c r="D183" i="15"/>
  <c r="D184" i="15"/>
  <c r="D185" i="15"/>
  <c r="D186" i="15"/>
  <c r="D187" i="15"/>
  <c r="D188" i="15"/>
  <c r="D189" i="15"/>
  <c r="D190" i="15"/>
  <c r="D191" i="15"/>
  <c r="D192" i="15"/>
  <c r="D193" i="15"/>
  <c r="D194" i="15"/>
  <c r="D195" i="15"/>
  <c r="D196" i="15"/>
  <c r="D197" i="15"/>
  <c r="D198" i="15"/>
  <c r="D199" i="15"/>
  <c r="D200" i="15"/>
  <c r="D201" i="15"/>
  <c r="D202" i="15"/>
  <c r="D203" i="15"/>
  <c r="D204" i="15"/>
  <c r="D205" i="15"/>
  <c r="D206" i="15"/>
  <c r="D207" i="15"/>
  <c r="D208" i="15"/>
  <c r="D209" i="15"/>
  <c r="D210" i="15"/>
  <c r="D211" i="15"/>
  <c r="D212" i="15"/>
  <c r="D213" i="15"/>
  <c r="D214" i="15"/>
  <c r="D215" i="15"/>
  <c r="D216" i="15"/>
  <c r="D217" i="15"/>
  <c r="D218" i="15"/>
  <c r="D219" i="15"/>
  <c r="D220" i="15"/>
  <c r="D221" i="15"/>
  <c r="D222" i="15"/>
  <c r="D223" i="15"/>
  <c r="D224" i="15"/>
  <c r="D225" i="15"/>
  <c r="D226" i="15"/>
  <c r="D227" i="15"/>
  <c r="D228" i="15"/>
  <c r="D229" i="15"/>
  <c r="D230" i="15"/>
  <c r="D231" i="15"/>
  <c r="D232" i="15"/>
  <c r="D233" i="15"/>
  <c r="D234" i="15"/>
  <c r="D235" i="15"/>
  <c r="D236" i="15"/>
  <c r="D237" i="15"/>
  <c r="D238" i="15"/>
  <c r="D239" i="15"/>
  <c r="D240" i="15"/>
  <c r="D241" i="15"/>
  <c r="D242" i="15"/>
  <c r="D243" i="15"/>
  <c r="D244" i="15"/>
  <c r="D245" i="15"/>
  <c r="D246" i="15"/>
  <c r="D247" i="15"/>
  <c r="D248" i="15"/>
  <c r="D249" i="15"/>
  <c r="D250" i="15"/>
  <c r="D251" i="15"/>
  <c r="D252" i="15"/>
  <c r="D253" i="15"/>
  <c r="D254" i="15"/>
  <c r="D255" i="15"/>
  <c r="D256" i="15"/>
  <c r="D257" i="15"/>
  <c r="D258" i="15"/>
  <c r="D259" i="15"/>
  <c r="D260" i="15"/>
  <c r="D261" i="15"/>
  <c r="D262" i="15"/>
  <c r="D263" i="15"/>
  <c r="D264" i="15"/>
  <c r="D265" i="15"/>
  <c r="D266" i="15"/>
  <c r="D267" i="15"/>
  <c r="D268" i="15"/>
  <c r="D269" i="15"/>
  <c r="D270" i="15"/>
  <c r="D271" i="15"/>
  <c r="D272" i="15"/>
  <c r="D273" i="15"/>
  <c r="D274" i="15"/>
  <c r="D275" i="15"/>
  <c r="D276" i="15"/>
  <c r="D277" i="15"/>
  <c r="D278" i="15"/>
  <c r="D279" i="15"/>
  <c r="D280" i="15"/>
  <c r="D281" i="15"/>
  <c r="D282" i="15"/>
  <c r="D283" i="15"/>
  <c r="D284" i="15"/>
  <c r="D285" i="15"/>
  <c r="D286" i="15"/>
  <c r="D287" i="15"/>
  <c r="D288" i="15"/>
  <c r="D289" i="15"/>
  <c r="D290" i="15"/>
  <c r="D291" i="15"/>
  <c r="D292" i="15"/>
  <c r="D293" i="15"/>
  <c r="D294" i="15"/>
  <c r="D295" i="15"/>
  <c r="D296" i="15"/>
  <c r="D297" i="15"/>
  <c r="D298" i="15"/>
  <c r="D299" i="15"/>
  <c r="D300" i="15"/>
  <c r="D301" i="15"/>
  <c r="E3" i="15"/>
  <c r="E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88" i="15"/>
  <c r="E89" i="15"/>
  <c r="E90" i="15"/>
  <c r="E91" i="15"/>
  <c r="E92" i="15"/>
  <c r="E93" i="15"/>
  <c r="E94" i="15"/>
  <c r="E95" i="15"/>
  <c r="E96" i="15"/>
  <c r="E97" i="15"/>
  <c r="E98" i="15"/>
  <c r="E99" i="15"/>
  <c r="E100" i="15"/>
  <c r="E101" i="15"/>
  <c r="E102" i="15"/>
  <c r="E103" i="15"/>
  <c r="E104" i="15"/>
  <c r="E105" i="15"/>
  <c r="E106" i="15"/>
  <c r="E107" i="15"/>
  <c r="E108" i="15"/>
  <c r="E109" i="15"/>
  <c r="E110" i="15"/>
  <c r="E111" i="15"/>
  <c r="E112" i="15"/>
  <c r="E113" i="15"/>
  <c r="E114" i="15"/>
  <c r="E115" i="15"/>
  <c r="E116" i="15"/>
  <c r="E117" i="15"/>
  <c r="E118" i="15"/>
  <c r="E119" i="15"/>
  <c r="E120" i="15"/>
  <c r="E121" i="15"/>
  <c r="E122" i="15"/>
  <c r="E123" i="15"/>
  <c r="E124" i="15"/>
  <c r="E125" i="15"/>
  <c r="E126" i="15"/>
  <c r="E127" i="15"/>
  <c r="E128" i="15"/>
  <c r="E129" i="15"/>
  <c r="E130" i="15"/>
  <c r="E131" i="15"/>
  <c r="E132" i="15"/>
  <c r="E133" i="15"/>
  <c r="E134" i="15"/>
  <c r="E135" i="15"/>
  <c r="E136" i="15"/>
  <c r="E137" i="15"/>
  <c r="E138" i="15"/>
  <c r="E139" i="15"/>
  <c r="E140" i="15"/>
  <c r="E141" i="15"/>
  <c r="E142" i="15"/>
  <c r="E143" i="15"/>
  <c r="E144" i="15"/>
  <c r="E145" i="15"/>
  <c r="E146" i="15"/>
  <c r="E147" i="15"/>
  <c r="E148" i="15"/>
  <c r="E149" i="15"/>
  <c r="E150" i="15"/>
  <c r="E151" i="15"/>
  <c r="E152" i="15"/>
  <c r="E153" i="15"/>
  <c r="E154" i="15"/>
  <c r="E155" i="15"/>
  <c r="E156" i="15"/>
  <c r="E157" i="15"/>
  <c r="E158" i="15"/>
  <c r="E159" i="15"/>
  <c r="E160" i="15"/>
  <c r="E161" i="15"/>
  <c r="E162" i="15"/>
  <c r="E163" i="15"/>
  <c r="E164" i="15"/>
  <c r="E165" i="15"/>
  <c r="E166" i="15"/>
  <c r="E167" i="15"/>
  <c r="E168" i="15"/>
  <c r="E169" i="15"/>
  <c r="E170" i="15"/>
  <c r="E171" i="15"/>
  <c r="E172" i="15"/>
  <c r="E173" i="15"/>
  <c r="E174" i="15"/>
  <c r="E175" i="15"/>
  <c r="E176" i="15"/>
  <c r="E177" i="15"/>
  <c r="E178" i="15"/>
  <c r="E179" i="15"/>
  <c r="E180" i="15"/>
  <c r="E181" i="15"/>
  <c r="E182" i="15"/>
  <c r="E183" i="15"/>
  <c r="E184" i="15"/>
  <c r="E185" i="15"/>
  <c r="E186" i="15"/>
  <c r="E187" i="15"/>
  <c r="E188" i="15"/>
  <c r="E189" i="15"/>
  <c r="E190" i="15"/>
  <c r="E191" i="15"/>
  <c r="E192" i="15"/>
  <c r="E193" i="15"/>
  <c r="E194" i="15"/>
  <c r="E195" i="15"/>
  <c r="E196" i="15"/>
  <c r="E197" i="15"/>
  <c r="E198" i="15"/>
  <c r="E199" i="15"/>
  <c r="E200" i="15"/>
  <c r="E201" i="15"/>
  <c r="E202" i="15"/>
  <c r="E203" i="15"/>
  <c r="E204" i="15"/>
  <c r="E205" i="15"/>
  <c r="E206" i="15"/>
  <c r="E207" i="15"/>
  <c r="E208" i="15"/>
  <c r="E209" i="15"/>
  <c r="E210" i="15"/>
  <c r="E211" i="15"/>
  <c r="E212" i="15"/>
  <c r="E213" i="15"/>
  <c r="E214" i="15"/>
  <c r="E215" i="15"/>
  <c r="E216" i="15"/>
  <c r="E217" i="15"/>
  <c r="E218" i="15"/>
  <c r="E219" i="15"/>
  <c r="E220" i="15"/>
  <c r="E221" i="15"/>
  <c r="E222" i="15"/>
  <c r="E223" i="15"/>
  <c r="E224" i="15"/>
  <c r="E225" i="15"/>
  <c r="E226" i="15"/>
  <c r="E227" i="15"/>
  <c r="E228" i="15"/>
  <c r="E229" i="15"/>
  <c r="E230" i="15"/>
  <c r="E231" i="15"/>
  <c r="E232" i="15"/>
  <c r="E233" i="15"/>
  <c r="E234" i="15"/>
  <c r="E235" i="15"/>
  <c r="E236" i="15"/>
  <c r="E237" i="15"/>
  <c r="E238" i="15"/>
  <c r="E239" i="15"/>
  <c r="E240" i="15"/>
  <c r="E241" i="15"/>
  <c r="E242" i="15"/>
  <c r="E243" i="15"/>
  <c r="E244" i="15"/>
  <c r="E245" i="15"/>
  <c r="E246" i="15"/>
  <c r="E247" i="15"/>
  <c r="E248" i="15"/>
  <c r="E249" i="15"/>
  <c r="E250" i="15"/>
  <c r="E251" i="15"/>
  <c r="E252" i="15"/>
  <c r="E253" i="15"/>
  <c r="E254" i="15"/>
  <c r="E255" i="15"/>
  <c r="E256" i="15"/>
  <c r="E257" i="15"/>
  <c r="E258" i="15"/>
  <c r="E259" i="15"/>
  <c r="E260" i="15"/>
  <c r="E261" i="15"/>
  <c r="E262" i="15"/>
  <c r="E263" i="15"/>
  <c r="E264" i="15"/>
  <c r="E265" i="15"/>
  <c r="E266" i="15"/>
  <c r="E267" i="15"/>
  <c r="E268" i="15"/>
  <c r="E269" i="15"/>
  <c r="E270" i="15"/>
  <c r="E271" i="15"/>
  <c r="E272" i="15"/>
  <c r="E273" i="15"/>
  <c r="E274" i="15"/>
  <c r="E275" i="15"/>
  <c r="E276" i="15"/>
  <c r="E277" i="15"/>
  <c r="E278" i="15"/>
  <c r="E279" i="15"/>
  <c r="E280" i="15"/>
  <c r="E281" i="15"/>
  <c r="E282" i="15"/>
  <c r="E283" i="15"/>
  <c r="E284" i="15"/>
  <c r="E285" i="15"/>
  <c r="E286" i="15"/>
  <c r="E287" i="15"/>
  <c r="E288" i="15"/>
  <c r="E289" i="15"/>
  <c r="E290" i="15"/>
  <c r="E291" i="15"/>
  <c r="E292" i="15"/>
  <c r="E293" i="15"/>
  <c r="E294" i="15"/>
  <c r="E295" i="15"/>
  <c r="E296" i="15"/>
  <c r="E297" i="15"/>
  <c r="E298" i="15"/>
  <c r="E299" i="15"/>
  <c r="E300" i="15"/>
  <c r="E301" i="15"/>
  <c r="D18" i="13"/>
  <c r="C18" i="13"/>
  <c r="F5" i="11"/>
  <c r="F6" i="11"/>
  <c r="F45" i="11"/>
  <c r="F7" i="11"/>
  <c r="F12" i="11"/>
  <c r="F46" i="11"/>
  <c r="F9" i="11"/>
  <c r="F29" i="11"/>
  <c r="F30" i="11"/>
  <c r="F17" i="11"/>
  <c r="F64" i="11"/>
  <c r="F47" i="11"/>
  <c r="F48" i="11"/>
  <c r="F10" i="11"/>
  <c r="F49" i="11"/>
  <c r="F31" i="11"/>
  <c r="F32" i="11"/>
  <c r="F18" i="11"/>
  <c r="F21" i="11"/>
  <c r="F50" i="11"/>
  <c r="F33" i="11"/>
  <c r="F34" i="11"/>
  <c r="F8" i="11"/>
  <c r="F51" i="11"/>
  <c r="F35" i="11"/>
  <c r="F13" i="11"/>
  <c r="F52" i="11"/>
  <c r="F53" i="11"/>
  <c r="F19" i="11"/>
  <c r="F22" i="11"/>
  <c r="F54" i="11"/>
  <c r="F28" i="11"/>
  <c r="E19" i="11"/>
  <c r="E6" i="11"/>
  <c r="E22" i="11"/>
  <c r="E54" i="11"/>
  <c r="E53" i="11"/>
  <c r="E35" i="11"/>
  <c r="E13" i="11"/>
  <c r="E52" i="11"/>
  <c r="E51" i="11"/>
  <c r="E17" i="11"/>
  <c r="E64" i="11"/>
  <c r="E47" i="11"/>
  <c r="E48" i="11"/>
  <c r="E10" i="11"/>
  <c r="E49" i="11"/>
  <c r="E31" i="11"/>
  <c r="E32" i="11"/>
  <c r="E18" i="11"/>
  <c r="E21" i="11"/>
  <c r="E50" i="11"/>
  <c r="E33" i="11"/>
  <c r="E34" i="11"/>
  <c r="E8" i="11"/>
  <c r="E15" i="11"/>
  <c r="E5" i="11"/>
  <c r="E45" i="11"/>
  <c r="E7" i="11"/>
  <c r="E12" i="11"/>
  <c r="E46" i="11"/>
  <c r="E9" i="11"/>
  <c r="E29" i="11"/>
  <c r="E30" i="11"/>
  <c r="E28" i="11"/>
  <c r="G3" i="11" l="1"/>
  <c r="H29" i="14"/>
  <c r="O5" i="14" s="1"/>
  <c r="C1" i="12"/>
  <c r="F274" i="15"/>
  <c r="F242" i="15"/>
  <c r="F186" i="15"/>
  <c r="F122" i="15"/>
  <c r="F58" i="15"/>
  <c r="F67" i="15"/>
  <c r="F262" i="15"/>
  <c r="F140" i="15"/>
  <c r="F76" i="15"/>
  <c r="F12" i="15"/>
  <c r="F48" i="15"/>
  <c r="F112" i="15"/>
  <c r="F39" i="15"/>
  <c r="F158" i="15"/>
  <c r="F94" i="15"/>
  <c r="F30" i="15"/>
  <c r="F294" i="15"/>
  <c r="F252" i="15"/>
  <c r="F284" i="15"/>
  <c r="F204" i="15"/>
  <c r="F131" i="15"/>
  <c r="F195" i="15"/>
  <c r="F176" i="15"/>
  <c r="F103" i="15"/>
  <c r="F167" i="15"/>
  <c r="F21" i="15"/>
  <c r="F231" i="15"/>
  <c r="F85" i="15"/>
  <c r="F222" i="15"/>
  <c r="F149" i="15"/>
  <c r="F3" i="15"/>
  <c r="F286" i="15"/>
  <c r="F278" i="15"/>
  <c r="F270" i="15"/>
  <c r="F254" i="15"/>
  <c r="F246" i="15"/>
  <c r="F238" i="15"/>
  <c r="F230" i="15"/>
  <c r="F214" i="15"/>
  <c r="F206" i="15"/>
  <c r="F198" i="15"/>
  <c r="F190" i="15"/>
  <c r="F182" i="15"/>
  <c r="F174" i="15"/>
  <c r="F166" i="15"/>
  <c r="F150" i="15"/>
  <c r="F142" i="15"/>
  <c r="F134" i="15"/>
  <c r="F126" i="15"/>
  <c r="F118" i="15"/>
  <c r="F110" i="15"/>
  <c r="F102" i="15"/>
  <c r="F86" i="15"/>
  <c r="F78" i="15"/>
  <c r="F70" i="15"/>
  <c r="F62" i="15"/>
  <c r="F54" i="15"/>
  <c r="F46" i="15"/>
  <c r="F38" i="15"/>
  <c r="F22" i="15"/>
  <c r="F14" i="15"/>
  <c r="F6" i="15"/>
  <c r="F5" i="15"/>
  <c r="F213" i="15"/>
  <c r="F296" i="15"/>
  <c r="F285" i="15"/>
  <c r="F275" i="15"/>
  <c r="F264" i="15"/>
  <c r="F253" i="15"/>
  <c r="F243" i="15"/>
  <c r="F232" i="15"/>
  <c r="F223" i="15"/>
  <c r="F205" i="15"/>
  <c r="F196" i="15"/>
  <c r="F187" i="15"/>
  <c r="F178" i="15"/>
  <c r="F168" i="15"/>
  <c r="F159" i="15"/>
  <c r="F141" i="15"/>
  <c r="F132" i="15"/>
  <c r="F123" i="15"/>
  <c r="F114" i="15"/>
  <c r="F104" i="15"/>
  <c r="F95" i="15"/>
  <c r="F77" i="15"/>
  <c r="F68" i="15"/>
  <c r="F59" i="15"/>
  <c r="F50" i="15"/>
  <c r="F40" i="15"/>
  <c r="F31" i="15"/>
  <c r="F13" i="15"/>
  <c r="F4" i="15"/>
  <c r="F295" i="15"/>
  <c r="F287" i="15"/>
  <c r="F279" i="15"/>
  <c r="F271" i="15"/>
  <c r="F263" i="15"/>
  <c r="F255" i="15"/>
  <c r="F247" i="15"/>
  <c r="F239" i="15"/>
  <c r="F293" i="15"/>
  <c r="F283" i="15"/>
  <c r="F272" i="15"/>
  <c r="F261" i="15"/>
  <c r="F251" i="15"/>
  <c r="F240" i="15"/>
  <c r="F221" i="15"/>
  <c r="F212" i="15"/>
  <c r="F203" i="15"/>
  <c r="F194" i="15"/>
  <c r="F184" i="15"/>
  <c r="F175" i="15"/>
  <c r="F157" i="15"/>
  <c r="F148" i="15"/>
  <c r="F139" i="15"/>
  <c r="F130" i="15"/>
  <c r="F120" i="15"/>
  <c r="F111" i="15"/>
  <c r="F93" i="15"/>
  <c r="F84" i="15"/>
  <c r="F75" i="15"/>
  <c r="F66" i="15"/>
  <c r="F56" i="15"/>
  <c r="F47" i="15"/>
  <c r="F29" i="15"/>
  <c r="F20" i="15"/>
  <c r="F11" i="15"/>
  <c r="F292" i="15"/>
  <c r="F282" i="15"/>
  <c r="F260" i="15"/>
  <c r="F250" i="15"/>
  <c r="F229" i="15"/>
  <c r="F220" i="15"/>
  <c r="F211" i="15"/>
  <c r="F202" i="15"/>
  <c r="F192" i="15"/>
  <c r="F183" i="15"/>
  <c r="F165" i="15"/>
  <c r="F156" i="15"/>
  <c r="F147" i="15"/>
  <c r="F138" i="15"/>
  <c r="F128" i="15"/>
  <c r="F119" i="15"/>
  <c r="F101" i="15"/>
  <c r="F92" i="15"/>
  <c r="F83" i="15"/>
  <c r="F74" i="15"/>
  <c r="F64" i="15"/>
  <c r="F55" i="15"/>
  <c r="F37" i="15"/>
  <c r="F28" i="15"/>
  <c r="F19" i="15"/>
  <c r="F10" i="15"/>
  <c r="F301" i="15"/>
  <c r="F291" i="15"/>
  <c r="F280" i="15"/>
  <c r="F269" i="15"/>
  <c r="F259" i="15"/>
  <c r="F248" i="15"/>
  <c r="F237" i="15"/>
  <c r="F228" i="15"/>
  <c r="F219" i="15"/>
  <c r="F210" i="15"/>
  <c r="F200" i="15"/>
  <c r="F191" i="15"/>
  <c r="F173" i="15"/>
  <c r="F164" i="15"/>
  <c r="F155" i="15"/>
  <c r="F146" i="15"/>
  <c r="F136" i="15"/>
  <c r="F127" i="15"/>
  <c r="F109" i="15"/>
  <c r="F100" i="15"/>
  <c r="F91" i="15"/>
  <c r="F82" i="15"/>
  <c r="F72" i="15"/>
  <c r="F63" i="15"/>
  <c r="F45" i="15"/>
  <c r="F36" i="15"/>
  <c r="F27" i="15"/>
  <c r="F18" i="15"/>
  <c r="F8" i="15"/>
  <c r="F300" i="15"/>
  <c r="F290" i="15"/>
  <c r="F268" i="15"/>
  <c r="F258" i="15"/>
  <c r="F236" i="15"/>
  <c r="F227" i="15"/>
  <c r="F218" i="15"/>
  <c r="F208" i="15"/>
  <c r="F199" i="15"/>
  <c r="F181" i="15"/>
  <c r="F172" i="15"/>
  <c r="F163" i="15"/>
  <c r="F154" i="15"/>
  <c r="F144" i="15"/>
  <c r="F135" i="15"/>
  <c r="F117" i="15"/>
  <c r="F108" i="15"/>
  <c r="F99" i="15"/>
  <c r="F90" i="15"/>
  <c r="F80" i="15"/>
  <c r="F71" i="15"/>
  <c r="F53" i="15"/>
  <c r="F44" i="15"/>
  <c r="F35" i="15"/>
  <c r="F26" i="15"/>
  <c r="F16" i="15"/>
  <c r="F7" i="15"/>
  <c r="F299" i="15"/>
  <c r="F288" i="15"/>
  <c r="F277" i="15"/>
  <c r="F267" i="15"/>
  <c r="F256" i="15"/>
  <c r="F245" i="15"/>
  <c r="F235" i="15"/>
  <c r="F226" i="15"/>
  <c r="F216" i="15"/>
  <c r="F207" i="15"/>
  <c r="F189" i="15"/>
  <c r="F180" i="15"/>
  <c r="F171" i="15"/>
  <c r="F162" i="15"/>
  <c r="F152" i="15"/>
  <c r="F143" i="15"/>
  <c r="F125" i="15"/>
  <c r="F116" i="15"/>
  <c r="F107" i="15"/>
  <c r="F98" i="15"/>
  <c r="F88" i="15"/>
  <c r="F79" i="15"/>
  <c r="F61" i="15"/>
  <c r="F52" i="15"/>
  <c r="F43" i="15"/>
  <c r="F34" i="15"/>
  <c r="F24" i="15"/>
  <c r="F15" i="15"/>
  <c r="F297" i="15"/>
  <c r="F289" i="15"/>
  <c r="F281" i="15"/>
  <c r="F273" i="15"/>
  <c r="F265" i="15"/>
  <c r="F257" i="15"/>
  <c r="F249" i="15"/>
  <c r="F241" i="15"/>
  <c r="F233" i="15"/>
  <c r="F225" i="15"/>
  <c r="F217" i="15"/>
  <c r="F209" i="15"/>
  <c r="F201" i="15"/>
  <c r="F193" i="15"/>
  <c r="F185" i="15"/>
  <c r="F177" i="15"/>
  <c r="F169" i="15"/>
  <c r="F161" i="15"/>
  <c r="F153" i="15"/>
  <c r="F145" i="15"/>
  <c r="F137" i="15"/>
  <c r="F129" i="15"/>
  <c r="F121" i="15"/>
  <c r="F113" i="15"/>
  <c r="F105" i="15"/>
  <c r="F97" i="15"/>
  <c r="F89" i="15"/>
  <c r="F81" i="15"/>
  <c r="F73" i="15"/>
  <c r="F65" i="15"/>
  <c r="F57" i="15"/>
  <c r="F49" i="15"/>
  <c r="F41" i="15"/>
  <c r="F33" i="15"/>
  <c r="F25" i="15"/>
  <c r="F17" i="15"/>
  <c r="F9" i="15"/>
  <c r="F298" i="15"/>
  <c r="F276" i="15"/>
  <c r="F266" i="15"/>
  <c r="F244" i="15"/>
  <c r="F234" i="15"/>
  <c r="F224" i="15"/>
  <c r="F215" i="15"/>
  <c r="F197" i="15"/>
  <c r="F188" i="15"/>
  <c r="F179" i="15"/>
  <c r="F170" i="15"/>
  <c r="F160" i="15"/>
  <c r="F151" i="15"/>
  <c r="F133" i="15"/>
  <c r="F124" i="15"/>
  <c r="F115" i="15"/>
  <c r="F106" i="15"/>
  <c r="F96" i="15"/>
  <c r="F87" i="15"/>
  <c r="F69" i="15"/>
  <c r="F60" i="15"/>
  <c r="F51" i="15"/>
  <c r="F42" i="15"/>
  <c r="F32" i="15"/>
  <c r="F23" i="15"/>
  <c r="E18" i="13"/>
  <c r="C21" i="13" l="1"/>
  <c r="B21" i="13"/>
  <c r="G55" i="9"/>
  <c r="F55" i="9"/>
  <c r="F9" i="9"/>
  <c r="D21" i="13" l="1"/>
  <c r="H55" i="9"/>
  <c r="G80" i="9"/>
  <c r="F79" i="9"/>
  <c r="G79" i="9" s="1"/>
  <c r="H79" i="9" s="1"/>
  <c r="G78" i="9"/>
  <c r="F78" i="9"/>
  <c r="G75" i="9"/>
  <c r="F75" i="9"/>
  <c r="G74" i="9"/>
  <c r="F74" i="9"/>
  <c r="G61" i="9"/>
  <c r="F61" i="9"/>
  <c r="G59" i="9"/>
  <c r="F59" i="9"/>
  <c r="D76" i="9"/>
  <c r="H61" i="9" l="1"/>
  <c r="H59" i="9"/>
  <c r="H80" i="9"/>
  <c r="H75" i="9"/>
  <c r="H74" i="9"/>
  <c r="H78" i="9"/>
  <c r="B34" i="5"/>
  <c r="B33" i="5"/>
  <c r="A37" i="5"/>
  <c r="C31" i="5"/>
  <c r="C18" i="5"/>
  <c r="C19" i="5"/>
  <c r="C30" i="5"/>
  <c r="B14" i="5"/>
  <c r="Z15" i="5"/>
  <c r="V15" i="5"/>
  <c r="AA31" i="5"/>
  <c r="V21" i="5"/>
  <c r="V20" i="5"/>
  <c r="V16" i="5"/>
  <c r="V11" i="5"/>
  <c r="V10" i="5"/>
  <c r="V6" i="5"/>
  <c r="V7" i="5" s="1"/>
  <c r="A45" i="5"/>
  <c r="A46" i="5" s="1"/>
  <c r="C14" i="5" s="1"/>
  <c r="B7" i="5"/>
  <c r="A47" i="5" l="1"/>
  <c r="C15"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<sst xmlns="http://schemas.openxmlformats.org/spreadsheetml/2006/main" count="3419" uniqueCount="1692">
  <si>
    <t>Nombre completo</t>
  </si>
  <si>
    <t>Direcciòn</t>
  </si>
  <si>
    <t>Pedido</t>
  </si>
  <si>
    <t>Fecha y Hora</t>
  </si>
  <si>
    <t>Iniciar Pedido</t>
  </si>
  <si>
    <t>Completar Pedido</t>
  </si>
  <si>
    <t>Metodo de Pago</t>
  </si>
  <si>
    <t>Total Real</t>
  </si>
  <si>
    <t>Total Final</t>
  </si>
  <si>
    <t>Propina</t>
  </si>
  <si>
    <t>Tarifa</t>
  </si>
  <si>
    <t>Reed</t>
  </si>
  <si>
    <t>San isidsro 89</t>
  </si>
  <si>
    <t>2 garrafones de bonafontn 10L</t>
  </si>
  <si>
    <t>Transferencia</t>
  </si>
  <si>
    <t>Azahalea</t>
  </si>
  <si>
    <t xml:space="preserve">1 bonafont 20l,2 focos, 1 mineral de 2l, 2 maruchas, 2 danets, 1/4 de jamon y de queso 1 pan tostado, 1 servicio extra </t>
  </si>
  <si>
    <t xml:space="preserve">Paula </t>
  </si>
  <si>
    <t>Aquiles 834</t>
  </si>
  <si>
    <t>1 cabeza de ajo</t>
  </si>
  <si>
    <t>Portales 99</t>
  </si>
  <si>
    <t>1 caguama, 1 lata, 1 valentia, 1 pan bimbo chico, 1 lata dew frijoles, 1/4 de jamon y de queso oaxaca, 1 servicio extra</t>
  </si>
  <si>
    <t xml:space="preserve">Brenda </t>
  </si>
  <si>
    <t>Condesa 60</t>
  </si>
  <si>
    <t>1 paquete de pañales j, 1 marucha de pollo</t>
  </si>
  <si>
    <t>Efectivo</t>
  </si>
  <si>
    <t>Edif 36B Dept 502</t>
  </si>
  <si>
    <t>1 pollo adobado, 1 papas,2 pepinos,1/4de croqueta para gato,12 de tortillas, 1 delawer 2l</t>
  </si>
  <si>
    <t>24/01/2025 18:41:04</t>
  </si>
  <si>
    <t>Veronica Alvarez</t>
  </si>
  <si>
    <t>36 A 302</t>
  </si>
  <si>
    <t xml:space="preserve">2 Garrafones Bonafont,1k de pierna con muslo sin piel2 chayotes, 1/4 de zanahoria 1 1/2 de tortillas </t>
  </si>
  <si>
    <t>28/01/2025 10:56:51</t>
  </si>
  <si>
    <t>trans y efectivo</t>
  </si>
  <si>
    <t>1kg jitomate medio de chiles una cabeza de ajo,</t>
  </si>
  <si>
    <t>28/01/2025 12:49:43</t>
  </si>
  <si>
    <t>Rosaura</t>
  </si>
  <si>
    <t>San isidro 93</t>
  </si>
  <si>
    <t>28/01/2025 16:10:48</t>
  </si>
  <si>
    <t>Edificio 45b 101</t>
  </si>
  <si>
    <t>- 1 Coca-Cola de 2L, - 1 papas Sabritas amarillas, - 1 Coca-Cola de 350ml, - 1 galletas besos de nuez, - 1 submarinos de fresa, - 1 rancheritos, - 1 galletas emperador de nuez, - 1 kinder delice</t>
  </si>
  <si>
    <t>28/01/2025 16:12:51</t>
  </si>
  <si>
    <t xml:space="preserve">2 cajas lucky suaves </t>
  </si>
  <si>
    <t>Repartidor</t>
  </si>
  <si>
    <t>Fecha</t>
  </si>
  <si>
    <t>Turno</t>
  </si>
  <si>
    <t xml:space="preserve">Efectivo caja </t>
  </si>
  <si>
    <t>pedidos</t>
  </si>
  <si>
    <t>Total real</t>
  </si>
  <si>
    <t>Total + xtra</t>
  </si>
  <si>
    <t xml:space="preserve">Ganancia </t>
  </si>
  <si>
    <t>Chipilito</t>
  </si>
  <si>
    <t>matutino</t>
  </si>
  <si>
    <t xml:space="preserve"> </t>
  </si>
  <si>
    <t>Castañeda 58</t>
  </si>
  <si>
    <t>2 garrafones ciel, 1 mineral de 2l, 2 dannet, 2 gelatinas gari</t>
  </si>
  <si>
    <t>28/01/2025 17:51:09</t>
  </si>
  <si>
    <t>Comentarios</t>
  </si>
  <si>
    <t>Moy</t>
  </si>
  <si>
    <t xml:space="preserve">vespertino </t>
  </si>
  <si>
    <t>Ancho (m)</t>
  </si>
  <si>
    <t>Alto</t>
  </si>
  <si>
    <t>Volumen</t>
  </si>
  <si>
    <t>Anaquel Bonafont</t>
  </si>
  <si>
    <t>alto (m)</t>
  </si>
  <si>
    <t>Largo (m)</t>
  </si>
  <si>
    <t>Mesa</t>
  </si>
  <si>
    <t>Muebvle de luz</t>
  </si>
  <si>
    <t>Altura (m)</t>
  </si>
  <si>
    <t>Volumen del Alamacen</t>
  </si>
  <si>
    <t>Nikki</t>
  </si>
  <si>
    <t>Edificio 36b depto 502</t>
  </si>
  <si>
    <t xml:space="preserve">4 PANES DEL PAN CHINO, 1 COCA DE 1.25, 1K DE Tortillas </t>
  </si>
  <si>
    <t>28/01/2025 18:52:39</t>
  </si>
  <si>
    <t xml:space="preserve">Almacen </t>
  </si>
  <si>
    <t>Area Jaula (m2)</t>
  </si>
  <si>
    <t>rendimiento</t>
  </si>
  <si>
    <t>pintura (L)</t>
  </si>
  <si>
    <t>Pi ntura vinilica clasica comex Ladrillo</t>
  </si>
  <si>
    <t>L/m2</t>
  </si>
  <si>
    <t>3 Brochas ($)</t>
  </si>
  <si>
    <t>Cerradura</t>
  </si>
  <si>
    <t xml:space="preserve">Colocar cerradura </t>
  </si>
  <si>
    <r>
      <t xml:space="preserve">2 Candado </t>
    </r>
    <r>
      <rPr>
        <u/>
        <sz val="11"/>
        <color theme="1"/>
        <rFont val="Calibri"/>
        <family val="2"/>
        <scheme val="minor"/>
      </rPr>
      <t>($)ç</t>
    </r>
  </si>
  <si>
    <t>pintura ($)</t>
  </si>
  <si>
    <t>6 Estante ($/pz)</t>
  </si>
  <si>
    <t>Total  (6)</t>
  </si>
  <si>
    <t>Total (10)</t>
  </si>
  <si>
    <t>COSTOS DE ALMACEN</t>
  </si>
  <si>
    <t>Politicas y Condiciones</t>
  </si>
  <si>
    <t>Somos un proyecto llamado Pedidito creado  por 2 estudiantes barones y un inversionista, enfocados a la entrega de productos a domicilio  de diversos locales pero estamos desarrollando una division enfocada al almacenamiento en el cual  proveemos espacio para almacenar productos de locales asociados.</t>
  </si>
  <si>
    <t>Términos y Condiciones para la División de Almacenamiento
1. Introducción
Nombre del servicio: Indica el nombre de la nueva división enfocada al almacenamiento (por ejemplo, "Pedidito Storage").
Descripción: Explica de manera breve qué hace esta división (por ejemplo, "Pedidito Storage ofrece soluciones de almacenamiento para locales asociados que necesitan espacio adicional para guardar productos").
2. Definiciones
Define términos clave como "Usuario", "Cliente", "Espacio de almacenamiento", "Servicios", etc.
3. Requisitos para los clientes
Elegibilidad: Detallar qué tipos de locales pueden acceder al servicio (por ejemplo, "Solo locales comerciales registrados y con licencia de funcionamiento").
Proceso de registro: Explicar cómo los locales pueden registrarse para utilizar el servicio de almacenamiento.
4. Descripción de los servicios
Explicar los servicios que se ofrecen (por ejemplo, "Almacenamiento de productos", "Acceso seguro 24/7", "Gestión de inventarios", etc.).
Detallar los tipos de espacios disponibles (por ejemplo, "Espacios pequeños", "Espacios grandes", "Acceso a temperatura controlada", etc.).
5. Precios y pagos
Precios: Explicar cómo se calcula el costo del servicio (por ejemplo, por metro cúbico, por volumen, etc.).
Condiciones de pago: Métodos de pago aceptados, periodicidad de pagos (mensual, trimestral, etc.) y condiciones de facturación.
6. Obligaciones y responsabilidades del usuario
Detallar lo que se espera de los locales asociados (por ejemplo, "Mantener los productos almacenados de acuerdo con las regulaciones", "No almacenar productos peligrosos", etc.).
Especificar que los locales son responsables de los productos almacenados.
7. Seguridad y acceso
Explicar cómo se garantizará la seguridad del almacenamiento (por ejemplo, "Acceso restringido por personal autorizado", "Sistemas de vigilancia 24/7", etc.).
Procedimientos para acceder al espacio (por ejemplo, "El usuario debe solicitar acceso con 24 horas de anticipación").
8. Término y rescisión del contrato
Condiciones bajo las cuales un cliente puede cancelar el servicio (por ejemplo, "Con 30 días de preaviso").
Derechos de Pedidito para rescindir el contrato (por ejemplo, "Si el cliente incumple con los términos del contrato").
9. Limitación de responsabilidad
Excluir responsabilidades en caso de pérdida de productos debido a causas fuera del control de la empresa (por ejemplo, "Pedidito no será responsable por daños o pérdidas de productos debido a desastres naturales o accidentes fuera de control").
10. Modificaciones de los Términos y Condiciones
Indicar que Pedidito se reserva el derecho de modificar los términos en cualquier momento (por ejemplo, "Nos reservamos el derecho de actualizar estos términos y condiciones. Los usuarios serán notificados de cualquier cambio").
11. Ley aplicable y resolución de disputas
Definir la legislación aplicable y el mecanismo de resolución de disputas (por ejemplo, "Cualquier disputa será resuelta en los tribunales de [nombre del país o ciudad]").</t>
  </si>
  <si>
    <t>Estantes</t>
  </si>
  <si>
    <t>Largo</t>
  </si>
  <si>
    <t>Ancho</t>
  </si>
  <si>
    <t>pisos</t>
  </si>
  <si>
    <t>precio</t>
  </si>
  <si>
    <t>espacio</t>
  </si>
  <si>
    <t xml:space="preserve">GARRAFONES </t>
  </si>
  <si>
    <t xml:space="preserve">ESPACIO LIBRE </t>
  </si>
  <si>
    <t>Anaquel</t>
  </si>
  <si>
    <t>Claudia</t>
  </si>
  <si>
    <t>Hacienda claveria 43</t>
  </si>
  <si>
    <t>Crema alpura 1/4,2 donas espolvoreadas ,2 sabritas originales ,2 barritas de piña,1 roles individuales de canela, 2 bolsas de regalo medianas por favor,2 moños medianos azules</t>
  </si>
  <si>
    <t>29/01/2025 17:04:19</t>
  </si>
  <si>
    <t>Edificio 36b depto 503</t>
  </si>
  <si>
    <t>Un jabón axxe, Un Suavitel azul, Un fabuloso azul, Un Tehuacán de a 600, cinco sobres de bicarbonato, una coca de a litro y medio, Un garrafón de agua 10l</t>
  </si>
  <si>
    <t>29/01/2025 17:07:57</t>
  </si>
  <si>
    <t>Capacidad de peso</t>
  </si>
  <si>
    <t>Av. Hacienda eñl rosario 111</t>
  </si>
  <si>
    <t>Impresiones, barrita pritt</t>
  </si>
  <si>
    <t>29/01/2025 19:57:57</t>
  </si>
  <si>
    <t>Plastico para envolver</t>
  </si>
  <si>
    <t>29/01/2025 20:55:52</t>
  </si>
  <si>
    <t>lupita</t>
  </si>
  <si>
    <t>5b 103</t>
  </si>
  <si>
    <t>pollo, sazonador, bolillos,</t>
  </si>
  <si>
    <t>30/01/2025 12:01:26</t>
  </si>
  <si>
    <t>1 refresco senzao,1 Delaware Ponch1 palomitas ACTO naturales,1 Peñafiel SOFT de frutos rojos,</t>
  </si>
  <si>
    <t>30/01/2025 12:45:41</t>
  </si>
  <si>
    <t>rosaura</t>
  </si>
  <si>
    <t>san isidro 93</t>
  </si>
  <si>
    <t>leche,</t>
  </si>
  <si>
    <t>30/01/2025 13:00:06</t>
  </si>
  <si>
    <t>claveria 43</t>
  </si>
  <si>
    <t>2 donas espolvoreadas,Una crema alpura de 1/4,</t>
  </si>
  <si>
    <t>30/01/2025 15:54:53</t>
  </si>
  <si>
    <t>Matutino</t>
  </si>
  <si>
    <t>Cristina</t>
  </si>
  <si>
    <t>Portales 39</t>
  </si>
  <si>
    <t>Panque de pàsas bimbo, 2 doraditas,</t>
  </si>
  <si>
    <t>30/01/2025 18:48:51</t>
  </si>
  <si>
    <t>Patricia Gonzales</t>
  </si>
  <si>
    <t>14 B 501</t>
  </si>
  <si>
    <t>30/01/2025 19:26:55</t>
  </si>
  <si>
    <t>pedido de farmacia gjr, 1 Kg huevo</t>
  </si>
  <si>
    <t>Dentista</t>
  </si>
  <si>
    <t>1 corona mega</t>
  </si>
  <si>
    <t>30/01/2025 22:08:25</t>
  </si>
  <si>
    <t>1 Rufles Queso grandes</t>
  </si>
  <si>
    <t>30/01/2025 22:10:08</t>
  </si>
  <si>
    <t>M&amp;F</t>
  </si>
  <si>
    <t>sebastian</t>
  </si>
  <si>
    <t>40 de croquetas, 10 de retazo, un arroz,</t>
  </si>
  <si>
    <t>31/01/2025 13:37:52</t>
  </si>
  <si>
    <t>1kg de pollo con muslo,</t>
  </si>
  <si>
    <t>31/01/2025 13:40:16</t>
  </si>
  <si>
    <t>Un pan Bimbo grande_x000D_
Un litro de leche,Un delaguer  grande,</t>
  </si>
  <si>
    <t>31/01/2025 13:42:17</t>
  </si>
  <si>
    <t>14a 204</t>
  </si>
  <si>
    <t>1 del valle de 3 l y una Magnum,</t>
  </si>
  <si>
    <t>31/01/2025 13:43:32</t>
  </si>
  <si>
    <t xml:space="preserve">moi </t>
  </si>
  <si>
    <t>31/01/2025 14:56:06</t>
  </si>
  <si>
    <t>$15 de tortillas,Una coca de 2 litros,Un chocolate,Un topo chico,Una Mundet roja prisco,Unos rancheritos,</t>
  </si>
  <si>
    <t xml:space="preserve">Matutino y Vespertino </t>
  </si>
  <si>
    <t>Edificio 36b depto 501</t>
  </si>
  <si>
    <t>2 manzanas,1pera, 40 de uvas</t>
  </si>
  <si>
    <t>Angel A</t>
  </si>
  <si>
    <t>Depto 31A Depto 101</t>
  </si>
  <si>
    <t xml:space="preserve">1 leche clavel, 1 galletas marias, 1/2 limon, 1 lechera, 5 hamburgesas </t>
  </si>
  <si>
    <t xml:space="preserve">1 Bolsa de palomitas, 2 cocas 0, 1 coca normnal 1 papas adobas </t>
  </si>
  <si>
    <t>Tranferencia</t>
  </si>
  <si>
    <t>Convocatoriaç</t>
  </si>
  <si>
    <t xml:space="preserve">Requisitos </t>
  </si>
  <si>
    <t>Repartidor no mas de 100 kg</t>
  </si>
  <si>
    <t>que tenga experiencia en bici o moto</t>
  </si>
  <si>
    <t>Edad de 18 a 30</t>
  </si>
  <si>
    <t>Capacitaciones</t>
  </si>
  <si>
    <t>hacer pèdido</t>
  </si>
  <si>
    <t>atencion al cliente</t>
  </si>
  <si>
    <t>Con actitud</t>
  </si>
  <si>
    <t>Sistema de almace</t>
  </si>
  <si>
    <t>Vespertino</t>
  </si>
  <si>
    <t>1 Mega</t>
  </si>
  <si>
    <t>2 garrafones, 1 mineral, 1/4 de jamon y 1k de huevo</t>
  </si>
  <si>
    <t>Edificio 45b depto 101</t>
  </si>
  <si>
    <t>15 de tortillas 1 pepsi 1.75</t>
  </si>
  <si>
    <t xml:space="preserve">2 mangos, 3 gelatinas 3 yakul,1 tortillas de arina </t>
  </si>
  <si>
    <t>Una coca de lata sin azúcar, un litro de leche Alpura, un cereal lfrutloops,un cereal zucaritas, cinco gelatinas Dani,un jugo de manzana de litro,un suerox de uva,tres yogurt,Rollo de papel 3 yakul</t>
  </si>
  <si>
    <t>1 lucuky</t>
  </si>
  <si>
    <t>Fuera de turno</t>
  </si>
  <si>
    <t xml:space="preserve">Moy </t>
  </si>
  <si>
    <t>2 bolsas de pozole,1 tostadas,</t>
  </si>
  <si>
    <t>16 Tacos don dani</t>
  </si>
  <si>
    <t>Judith</t>
  </si>
  <si>
    <t>Edificio 28a depto 402</t>
  </si>
  <si>
    <t>Un agua de frutos rojos bonafont, 1 takis dragon si no hay morados , 1 chetos torciditos 1 rufles doritos ,1 doritos negros</t>
  </si>
  <si>
    <t>Mar</t>
  </si>
  <si>
    <t>Hacienda el rosario 179</t>
  </si>
  <si>
    <t xml:space="preserve">1 coca de 1.25 y 1/4 de crema </t>
  </si>
  <si>
    <t>Estudio uñas</t>
  </si>
  <si>
    <t>Hacienda el rosario 111</t>
  </si>
  <si>
    <t>1/2 de milanesa de res,1 lata de piña en almibar ,1 caja de pan molido ,1/4 de queso oaxaca,1 aguacate,1 lata de frijoles refritos negros.</t>
  </si>
  <si>
    <t>7B</t>
  </si>
  <si>
    <t xml:space="preserve">Edificio 7a </t>
  </si>
  <si>
    <t>Un sprite de 600 ml ,$15 pesos de limón ,dos cebollas ,</t>
  </si>
  <si>
    <t>Moy Fer</t>
  </si>
  <si>
    <t>Domicilio</t>
  </si>
  <si>
    <t>31A 101</t>
  </si>
  <si>
    <t>45B 103</t>
  </si>
  <si>
    <t>4A</t>
  </si>
  <si>
    <t>Hac. Rosario 111</t>
  </si>
  <si>
    <t>nombre</t>
  </si>
  <si>
    <t>numero</t>
  </si>
  <si>
    <t>Regina Morales</t>
  </si>
  <si>
    <t>Olivar del Conde 48</t>
  </si>
  <si>
    <t>OXXO</t>
  </si>
  <si>
    <t>Nombre</t>
  </si>
  <si>
    <t>Locales</t>
  </si>
  <si>
    <t>19/02/2025 20:38:02</t>
  </si>
  <si>
    <t>Teresa</t>
  </si>
  <si>
    <t>19/02/2025 17:59:02</t>
  </si>
  <si>
    <t>19/02/2025 17:57:54</t>
  </si>
  <si>
    <t xml:space="preserve">Hector Estrada </t>
  </si>
  <si>
    <t>19/02/2025 17:56:03</t>
  </si>
  <si>
    <t>Steph</t>
  </si>
  <si>
    <t>18/02/2025 22:05:38</t>
  </si>
  <si>
    <t>18/02/2025 20:07:23</t>
  </si>
  <si>
    <t>América Bolaños</t>
  </si>
  <si>
    <t>18/02/2025 20:04:34</t>
  </si>
  <si>
    <t>18/02/2025 17:04:34</t>
  </si>
  <si>
    <t>18/02/2025 16:16:52</t>
  </si>
  <si>
    <t>18/02/2025 16:14:20</t>
  </si>
  <si>
    <t>18/02/2025 16:10:52</t>
  </si>
  <si>
    <t>18/02/2025 16:07:33</t>
  </si>
  <si>
    <t>18/02/2025 15:51:42</t>
  </si>
  <si>
    <t>18/02/2025 15:50:37</t>
  </si>
  <si>
    <t>18/02/2025 14:00:04</t>
  </si>
  <si>
    <t>26B</t>
  </si>
  <si>
    <t>17/02/2025 20:19:13</t>
  </si>
  <si>
    <t xml:space="preserve">Mar </t>
  </si>
  <si>
    <t>17/02/2025 19:25:14</t>
  </si>
  <si>
    <t>Regina</t>
  </si>
  <si>
    <t>17/02/2025 17:40:10</t>
  </si>
  <si>
    <t>Ximena Pineda</t>
  </si>
  <si>
    <t>17/02/2025 15:23:49</t>
  </si>
  <si>
    <t>17/02/2025 15:20:52</t>
  </si>
  <si>
    <t>17/02/2025 15:18:46</t>
  </si>
  <si>
    <t>17/02/2025 15:14:10</t>
  </si>
  <si>
    <t>17/02/2025 15:11:22</t>
  </si>
  <si>
    <t>17/02/2025 15:09:09</t>
  </si>
  <si>
    <t>17/02/2025 15:06:19</t>
  </si>
  <si>
    <t>esi</t>
  </si>
  <si>
    <t>14/02/2025 15:37:13</t>
  </si>
  <si>
    <t>13/02/2025 20:53:34</t>
  </si>
  <si>
    <t>Joy</t>
  </si>
  <si>
    <t>13/02/2025 19:29:36</t>
  </si>
  <si>
    <t>13/02/2025 18:08:41</t>
  </si>
  <si>
    <t>13/02/2025 17:48:42</t>
  </si>
  <si>
    <t>13/02/2025 17:46:11</t>
  </si>
  <si>
    <t>31b</t>
  </si>
  <si>
    <t>Pastrana</t>
  </si>
  <si>
    <t xml:space="preserve">Francisco </t>
  </si>
  <si>
    <t xml:space="preserve">marquesa </t>
  </si>
  <si>
    <t>zorro</t>
  </si>
  <si>
    <t xml:space="preserve">modelorama </t>
  </si>
  <si>
    <t>Papeleria cch</t>
  </si>
  <si>
    <t>Edi 27A Dep 201</t>
  </si>
  <si>
    <t>8 bolillos, 1 coca de 1.750</t>
  </si>
  <si>
    <t xml:space="preserve">1 arena para gatos, 2 cocas sin azucar, 20 de jamon 15 d torillas </t>
  </si>
  <si>
    <t>Edi 2B dep 201</t>
  </si>
  <si>
    <t>1 pechuga entera,1/2 de crema 1/4 de queso,5 de cilantro,1k de tortillas, 1 caja de malboro, 2 cocas reto de 3l</t>
  </si>
  <si>
    <t>Edi 844 dep c102</t>
  </si>
  <si>
    <t>4 bolillos, 25 de jamon, 1/4 de jamaica 20 de queso blanco</t>
  </si>
  <si>
    <t>Edi 1B dep 101</t>
  </si>
  <si>
    <t>Edi 45B dep 504</t>
  </si>
  <si>
    <t xml:space="preserve">2 paquetes de mantecadas,2 cocas, 1 tostadas, 1 pan molido , </t>
  </si>
  <si>
    <t>Hacienda Santiago 84</t>
  </si>
  <si>
    <t xml:space="preserve">1 paquetre de salchicchas pavo  food </t>
  </si>
  <si>
    <t>1 caldo de pollo,1 bote de estudio,200g de jamon, 1 mundet de 3l</t>
  </si>
  <si>
    <t xml:space="preserve">8 bisteck,1/4 de longaniza,1/4doble crema 1 maolboro  rojos </t>
  </si>
  <si>
    <t>Hacienda Clavería 43</t>
  </si>
  <si>
    <t>5 barritas, 1 crema de 1/2</t>
  </si>
  <si>
    <t>2 pan dulce, 15 de jamon, 1 jarrito 2l</t>
  </si>
  <si>
    <t xml:space="preserve">2 tortas de milanesa con salchica, 3 refrescos de 600 1 mordisco </t>
  </si>
  <si>
    <t>1 garrafon,2 maruchas,14/ de queso crema,1 arroz del valle, 6 cubos de pollo</t>
  </si>
  <si>
    <t>1 doritos nacho, 1 coca de 3l,15 de totillas,2k de huevo,2 botes de spagueti</t>
  </si>
  <si>
    <t>Edi 26B dep 302</t>
  </si>
  <si>
    <t xml:space="preserve">10l de leche alpura </t>
  </si>
  <si>
    <t>edificio 27a depto 302</t>
  </si>
  <si>
    <t xml:space="preserve">una mayonesa mediana, un paquete de salchichas para hotdog, un paquete de medias noches, unos platanos </t>
  </si>
  <si>
    <t>hacienda olivar del conde 48</t>
  </si>
  <si>
    <t>1 cv</t>
  </si>
  <si>
    <t>20A 104</t>
  </si>
  <si>
    <t>1/2 Kg limon, tostadas salmas</t>
  </si>
  <si>
    <t>1 suavitel,1 jax, 15 de tortillas,1 doritos incognita,1 coca de 1.75</t>
  </si>
  <si>
    <t>2 maruchas, 2 gelatinas, 1 dannet, 1 mineral 2l</t>
  </si>
  <si>
    <t>1k de tortillas, 2 cocas de 1.75</t>
  </si>
  <si>
    <t>hacienda rosario 111</t>
  </si>
  <si>
    <t xml:space="preserve">1/2 de bisteck,1/2 de chuleta,1/2 de tortillas, 1*/2 de tortillas, m1pechiuga 1k de muslo y pierna </t>
  </si>
  <si>
    <t xml:space="preserve">1 garrafon de bonafont </t>
  </si>
  <si>
    <t>20 de azucar, 1 coca 250ml, llevar su ropa a la tintoreria</t>
  </si>
  <si>
    <t>edificio 22a 403</t>
  </si>
  <si>
    <t xml:space="preserve">4 caguamas </t>
  </si>
  <si>
    <t xml:space="preserve">50 de chicharro, 1 agucate, 1 k de tortillas </t>
  </si>
  <si>
    <t>1 huevo kinder,5 hojas opalinas</t>
  </si>
  <si>
    <t>Aquiles 844</t>
  </si>
  <si>
    <t xml:space="preserve">garrafon gonafont 20l, tuboi fde trikitrakets, </t>
  </si>
  <si>
    <t xml:space="preserve">Tienda 1/2 barra de queso doble crema chinchota,2 donas espolvoreadas,4 barritas de piña,2 doritis sal y limón,1 paquete de galletas piruetas,1 servicio de tintoreria,  </t>
  </si>
  <si>
    <t xml:space="preserve">Un pan bimbo,30 de queso panela,Un garrafón de agua5l,Un papel aluminio,Dos rollos de papel baño,30 de uvas,20 de jamón,Un jarrito de uva </t>
  </si>
  <si>
    <t>edificio 31b 202</t>
  </si>
  <si>
    <t>1 garrafon de bonafont</t>
  </si>
  <si>
    <t>Recoger pedido</t>
  </si>
  <si>
    <t xml:space="preserve">36b 301 </t>
  </si>
  <si>
    <t xml:space="preserve">5 HAMBURGESAS </t>
  </si>
  <si>
    <t xml:space="preserve">Kilo y medio de muslo y pierna </t>
  </si>
  <si>
    <t>aquiles 844</t>
  </si>
  <si>
    <t xml:space="preserve">3 naturales palomitas,2 paletas de hielo </t>
  </si>
  <si>
    <t xml:space="preserve">1k de toerillas, 1 coca de de 1.70, 2 doritos nacho </t>
  </si>
  <si>
    <t xml:space="preserve">1k de crouqtea para gato,1l de leche alpura,1 coca de 1.75, 1 basos del n8 y bolsa de hielos </t>
  </si>
  <si>
    <t>Edificio 45B depto 403</t>
  </si>
  <si>
    <t xml:space="preserve">entregar un paquete de mercado liber </t>
  </si>
  <si>
    <t>edificio 9B depto 104</t>
  </si>
  <si>
    <t>2 muslos en forma de bistec</t>
  </si>
  <si>
    <t>2 garrafones</t>
  </si>
  <si>
    <t>moy</t>
  </si>
  <si>
    <t xml:space="preserve">fernando  y moy </t>
  </si>
  <si>
    <t xml:space="preserve">Moises </t>
  </si>
  <si>
    <t>Moy y fer</t>
  </si>
  <si>
    <t>Moises Valdez</t>
  </si>
  <si>
    <t>M &amp; F</t>
  </si>
  <si>
    <t>tortas</t>
  </si>
  <si>
    <t>Papeleria jose</t>
  </si>
  <si>
    <t>toks</t>
  </si>
  <si>
    <t>Recauderia Judith</t>
  </si>
  <si>
    <t>Panaderia Francisco</t>
  </si>
  <si>
    <t>Abarrotes Marqueza</t>
  </si>
  <si>
    <t>Carniceria Angel Amado</t>
  </si>
  <si>
    <t>Hamburguesas</t>
  </si>
  <si>
    <t>Polleria Bachoco</t>
  </si>
  <si>
    <t>Panaderia pan chino</t>
  </si>
  <si>
    <t>Columna1</t>
  </si>
  <si>
    <t>Carniceria El Triunfo</t>
  </si>
  <si>
    <t>Farmacia Colibri</t>
  </si>
  <si>
    <t>55 4368 5576</t>
  </si>
  <si>
    <t>2 red bull y 3 barritas de piña y 2 fritos sal,unas papas sabritas normales</t>
  </si>
  <si>
    <t>20/02/2025 16:15:35</t>
  </si>
  <si>
    <t>20/02/2025 16:17:39</t>
  </si>
  <si>
    <t>sra a lado tortillas</t>
  </si>
  <si>
    <t>Moy y Fer</t>
  </si>
  <si>
    <t>55 2080 7062</t>
  </si>
  <si>
    <t>Edificio 46 A Depto 102</t>
  </si>
  <si>
    <t>20/02/2025 22:33:52</t>
  </si>
  <si>
    <t>Starbucks</t>
  </si>
  <si>
    <t xml:space="preserve">3 pozoles grandes ,1 orden de enchiladas verdes ,4 flanes de la abuela de cajeta ,40 queso manchego ,1 tortillas de harina,30 jamón,1 pan Bimbo g,1 lata de leche Nestlé ,1 coca sin azúcar grande litro y medio,1 litro de leche alpura entera,1 toallas sanitarias nocturnas,1 crema alpura medio </t>
  </si>
  <si>
    <t>20/02/2025 22:36:30</t>
  </si>
  <si>
    <t xml:space="preserve">Ale Miranda </t>
  </si>
  <si>
    <t>55 3058 7714</t>
  </si>
  <si>
    <t>edi 18B</t>
  </si>
  <si>
    <t>1 donitas espolvoreadas , refresco delaware grande ,1/4 de jamón de pierna ,1 tortillinas</t>
  </si>
  <si>
    <t>20/02/2025 22:40:59</t>
  </si>
  <si>
    <t>55 4843 8154</t>
  </si>
  <si>
    <t>edificio 9A depo 104</t>
  </si>
  <si>
    <t xml:space="preserve">1 chiken beak, 1 ensalada </t>
  </si>
  <si>
    <t>21/02/2025 14:53:47</t>
  </si>
  <si>
    <t>costco</t>
  </si>
  <si>
    <t>DIA DE COSTCO</t>
  </si>
  <si>
    <t>Tabla de precios</t>
  </si>
  <si>
    <t xml:space="preserve">Costo real </t>
  </si>
  <si>
    <t>Costo pedidito</t>
  </si>
  <si>
    <t xml:space="preserve">Soda </t>
  </si>
  <si>
    <t>Hot dog</t>
  </si>
  <si>
    <t xml:space="preserve">Rebanada de piza </t>
  </si>
  <si>
    <t>Pizza completa</t>
  </si>
  <si>
    <t>Sandwich de pavo</t>
  </si>
  <si>
    <t xml:space="preserve">Chiken baek </t>
  </si>
  <si>
    <t>Ensalada pollo</t>
  </si>
  <si>
    <t>Smoothie mango</t>
  </si>
  <si>
    <t>Frape de café o mocha</t>
  </si>
  <si>
    <t>Galletota</t>
  </si>
  <si>
    <t>Lupita</t>
  </si>
  <si>
    <t>55 3932 3944</t>
  </si>
  <si>
    <t>Edi5B Dept103</t>
  </si>
  <si>
    <t>21/02/2025 17:24:51</t>
  </si>
  <si>
    <t>Alita</t>
  </si>
  <si>
    <t>55 3780 3548</t>
  </si>
  <si>
    <t>Edi7A dept 404</t>
  </si>
  <si>
    <t>1 arroz,1k de tortillas,2l de coca</t>
  </si>
  <si>
    <t>21/02/2025 17:31:52</t>
  </si>
  <si>
    <t>Dos cocas sin azúcar 600 ,10 de tortillas,Un paquete de vasos desechables ,Unas charolas,Y unos platos chicos,Un agua pero 10l,1frijoles,1 arroz</t>
  </si>
  <si>
    <t>21/02/2025 17:33:28</t>
  </si>
  <si>
    <t>Lavado de Colibrí</t>
  </si>
  <si>
    <t>55 2394 3136</t>
  </si>
  <si>
    <t>Ex Hacienda 28 Mayorazgo</t>
  </si>
  <si>
    <t>Un 24 de victorias,Unos marlboro blancosy unos 100 rojosa</t>
  </si>
  <si>
    <t>21/02/2025 18:25:01</t>
  </si>
  <si>
    <t>Filtrar los productos (contabilizar productos,y proveedores, costos)</t>
  </si>
  <si>
    <t>tabla de costco(hacer un formulario nuevo )</t>
  </si>
  <si>
    <t>modificar formulario para ser mas (especifico) (segmentar por color el mes)</t>
  </si>
  <si>
    <t>Recauderia Judith, Abarrotes Marqueza</t>
  </si>
  <si>
    <t>Panaderia pan chino, Abarrotes Irma</t>
  </si>
  <si>
    <t>Abarrotes reyes</t>
  </si>
  <si>
    <t>toks, farmacia, Abarrotes reyes</t>
  </si>
  <si>
    <t>Panaderia pan chino, Abarrotes Marqueza</t>
  </si>
  <si>
    <t>tortas, Abarrotes Marqueza</t>
  </si>
  <si>
    <t>Abarrotes reyes , Abarrotes Marqueza</t>
  </si>
  <si>
    <t>Abarrotes Marqueza, tortilleria</t>
  </si>
  <si>
    <t>Zorro</t>
  </si>
  <si>
    <t>Papeleria Jose</t>
  </si>
  <si>
    <t xml:space="preserve">Abarrotes Marqueza, Tortilleria </t>
  </si>
  <si>
    <t>Carniceria angel amado, Polleria bachoco, Tortilleria</t>
  </si>
  <si>
    <t>Tintoreria, Abarrotes Marqueza</t>
  </si>
  <si>
    <t>Carniceria angel amado,Abarrotes Marqueza</t>
  </si>
  <si>
    <t>Papeleria Jose, OXXO</t>
  </si>
  <si>
    <t>Abarrotes Marqueza , Papeleria Jose, Tintoreria</t>
  </si>
  <si>
    <t>Papeleria Jose, Abarrotes Irma</t>
  </si>
  <si>
    <t>OXXO, Abarrotes Marqueza</t>
  </si>
  <si>
    <t>1 verdolagas</t>
  </si>
  <si>
    <t>Latte tamaño grande con leche deslactosada media carga ,  1moka deslactosado tamaño grande</t>
  </si>
  <si>
    <t>casa toño, Abarrotes Marqueza</t>
  </si>
  <si>
    <t>modelorama, oxxo</t>
  </si>
  <si>
    <t>3 hot dog simple, 1 sándwich simple</t>
  </si>
  <si>
    <t xml:space="preserve">Psic. Claudia </t>
  </si>
  <si>
    <t>Sabritas Moradas</t>
  </si>
  <si>
    <t xml:space="preserve">1 garrafon </t>
  </si>
  <si>
    <t>edificio 844 depto 102c</t>
  </si>
  <si>
    <t xml:space="preserve">Elisa </t>
  </si>
  <si>
    <t>Valeria 45</t>
  </si>
  <si>
    <t xml:space="preserve"># Pedidos </t>
  </si>
  <si>
    <t>Total Pedidos</t>
  </si>
  <si>
    <t xml:space="preserve">Edif 22B </t>
  </si>
  <si>
    <t>Andrea 22</t>
  </si>
  <si>
    <t>Andrea 45</t>
  </si>
  <si>
    <t>Edificio 19b depto 201</t>
  </si>
  <si>
    <t>Edi 36B 503</t>
  </si>
  <si>
    <t>Productos</t>
  </si>
  <si>
    <t>Marlboro blanco</t>
  </si>
  <si>
    <t>Marlboro rojo 100</t>
  </si>
  <si>
    <t>Coca s.a. 600 mL</t>
  </si>
  <si>
    <t>tortilla 10$</t>
  </si>
  <si>
    <t>Paq. Vasos Desechables</t>
  </si>
  <si>
    <t>Paq. Vasos chicos</t>
  </si>
  <si>
    <t>Bonafont 10L</t>
  </si>
  <si>
    <t>Frijoles</t>
  </si>
  <si>
    <t>Arroz</t>
  </si>
  <si>
    <t>Ensalada</t>
  </si>
  <si>
    <t>Verdolagas</t>
  </si>
  <si>
    <t>Coca 2L</t>
  </si>
  <si>
    <t>sandwich</t>
  </si>
  <si>
    <t>hotdogs</t>
  </si>
  <si>
    <t>Chicken bake</t>
  </si>
  <si>
    <t>Bimbo donitas espolv.</t>
  </si>
  <si>
    <t>Delaware 2L</t>
  </si>
  <si>
    <t>Pozole Grande</t>
  </si>
  <si>
    <t>Enchiladas verdes</t>
  </si>
  <si>
    <t>Flan de la abuela</t>
  </si>
  <si>
    <t>Queso manchego</t>
  </si>
  <si>
    <t>Redbull</t>
  </si>
  <si>
    <t>Barritas Piña</t>
  </si>
  <si>
    <t>Fritos Sal</t>
  </si>
  <si>
    <t>8 bolillos</t>
  </si>
  <si>
    <t>1 arena para gatos</t>
  </si>
  <si>
    <t xml:space="preserve"> 2 cocas sin azucar</t>
  </si>
  <si>
    <t xml:space="preserve"> 20 de jamon 15 d torillas </t>
  </si>
  <si>
    <t>1 pechuga entera</t>
  </si>
  <si>
    <t>1/2 de crema 1/4 de queso</t>
  </si>
  <si>
    <t>5 de cilantro</t>
  </si>
  <si>
    <t>1k de tortillas</t>
  </si>
  <si>
    <t xml:space="preserve"> 2 cocas reto de 3l</t>
  </si>
  <si>
    <t>4 bolillos</t>
  </si>
  <si>
    <t xml:space="preserve"> 25 de jamon</t>
  </si>
  <si>
    <t xml:space="preserve"> 1/4 de jamaica 20 de queso blanco</t>
  </si>
  <si>
    <t>1 jarrito</t>
  </si>
  <si>
    <t>2 paquetes de mantecadas</t>
  </si>
  <si>
    <t>2 cocas</t>
  </si>
  <si>
    <t>1 caldo de pollo</t>
  </si>
  <si>
    <t>1 bote de estudio</t>
  </si>
  <si>
    <t>200g de jamon</t>
  </si>
  <si>
    <t>8 bisteck</t>
  </si>
  <si>
    <t>1/4 de longaniza</t>
  </si>
  <si>
    <t>5 barritas</t>
  </si>
  <si>
    <t>2 pan dulce</t>
  </si>
  <si>
    <t xml:space="preserve"> 15 de jamon</t>
  </si>
  <si>
    <t>2 tortas de milanesa con salchica</t>
  </si>
  <si>
    <t>1 garrafon</t>
  </si>
  <si>
    <t>2 maruchas</t>
  </si>
  <si>
    <t>14/ de queso crema</t>
  </si>
  <si>
    <t>1 arroz del valle</t>
  </si>
  <si>
    <t xml:space="preserve"> 6 cubos de pollo</t>
  </si>
  <si>
    <t>1 doritos nacho</t>
  </si>
  <si>
    <t>15 de totillas</t>
  </si>
  <si>
    <t>2k de huevo</t>
  </si>
  <si>
    <t>2 botes de spagueti</t>
  </si>
  <si>
    <t xml:space="preserve"> unos platanos </t>
  </si>
  <si>
    <t>1/2 Kg limon</t>
  </si>
  <si>
    <t xml:space="preserve"> tostadas salmas</t>
  </si>
  <si>
    <t>1 suavitel</t>
  </si>
  <si>
    <t>1 jax</t>
  </si>
  <si>
    <t xml:space="preserve"> 15 de tortillas</t>
  </si>
  <si>
    <t>1 doritos incognita</t>
  </si>
  <si>
    <t>1 coca de 1.75</t>
  </si>
  <si>
    <t xml:space="preserve"> 2 gelatinas</t>
  </si>
  <si>
    <t xml:space="preserve"> 2 cocas de 1.75</t>
  </si>
  <si>
    <t>1/2 de bisteck</t>
  </si>
  <si>
    <t>1/2 de chuleta</t>
  </si>
  <si>
    <t>1/2 de tortillas</t>
  </si>
  <si>
    <t xml:space="preserve"> 1*/2 de tortillas</t>
  </si>
  <si>
    <t xml:space="preserve"> m1pechiuga 1k de muslo y pierna </t>
  </si>
  <si>
    <t>20 de azucar</t>
  </si>
  <si>
    <t xml:space="preserve"> llevar su ropa a la tintoreria</t>
  </si>
  <si>
    <t>50 de chicharro</t>
  </si>
  <si>
    <t>1 huevo kinder</t>
  </si>
  <si>
    <t>5 hojas opalinas</t>
  </si>
  <si>
    <t>garrafon gonafont 20l</t>
  </si>
  <si>
    <t xml:space="preserve"> tuboi fde trikitrakets</t>
  </si>
  <si>
    <t>Tienda 1/2 barra de queso doble crema chinchota</t>
  </si>
  <si>
    <t>2 donas espolvoreadas</t>
  </si>
  <si>
    <t>4 barritas de piña</t>
  </si>
  <si>
    <t>2 doritis sal y limón</t>
  </si>
  <si>
    <t>1 paquete de galletas piruetas</t>
  </si>
  <si>
    <t>1 servicio de tintoreria</t>
  </si>
  <si>
    <t xml:space="preserve">  </t>
  </si>
  <si>
    <t>30 de queso panela</t>
  </si>
  <si>
    <t>Dos rollos de papel baño</t>
  </si>
  <si>
    <t>30 de uvas</t>
  </si>
  <si>
    <t>20 de jamón</t>
  </si>
  <si>
    <t>3 naturales palomitas</t>
  </si>
  <si>
    <t xml:space="preserve">2 paletas de hielo </t>
  </si>
  <si>
    <t>1k de toerillas</t>
  </si>
  <si>
    <t xml:space="preserve"> 2 doritos nacho </t>
  </si>
  <si>
    <t>1k de crouqtea para gato</t>
  </si>
  <si>
    <t>1l de leche alpura</t>
  </si>
  <si>
    <t xml:space="preserve">$15 pesos de limón </t>
  </si>
  <si>
    <t xml:space="preserve">dos cebollas </t>
  </si>
  <si>
    <t>1/2 de milanesa de res</t>
  </si>
  <si>
    <t xml:space="preserve">1 lata de piña en almibar </t>
  </si>
  <si>
    <t xml:space="preserve">1 caja de pan molido </t>
  </si>
  <si>
    <t>1/4 de queso oaxaca</t>
  </si>
  <si>
    <t>1 aguacate</t>
  </si>
  <si>
    <t>1 lata de frijoles refritos negros.</t>
  </si>
  <si>
    <t>1 doritos negros</t>
  </si>
  <si>
    <t>2 bolsas de pozole</t>
  </si>
  <si>
    <t>1 tostadas</t>
  </si>
  <si>
    <t xml:space="preserve"> cinco gelatinas Dani</t>
  </si>
  <si>
    <t>tres yogurt</t>
  </si>
  <si>
    <t>Rollo de papel 3 yakul</t>
  </si>
  <si>
    <t>2 mangos</t>
  </si>
  <si>
    <t xml:space="preserve"> 3 gelatinas 3 yakul</t>
  </si>
  <si>
    <t xml:space="preserve">1 tortillas de arina </t>
  </si>
  <si>
    <t xml:space="preserve"> 1/4 de jamon y 1k de huevo</t>
  </si>
  <si>
    <t>1 Bolsa de palomitas</t>
  </si>
  <si>
    <t xml:space="preserve"> 2 cocas 0</t>
  </si>
  <si>
    <t>1 leche clavel</t>
  </si>
  <si>
    <t xml:space="preserve"> 1/2 limon</t>
  </si>
  <si>
    <t xml:space="preserve"> 5 hamburgesas </t>
  </si>
  <si>
    <t>2 manzanas</t>
  </si>
  <si>
    <t>1pera</t>
  </si>
  <si>
    <t xml:space="preserve"> 40 de uvas</t>
  </si>
  <si>
    <t>$15 de tortillas</t>
  </si>
  <si>
    <t>Unos rancheritos</t>
  </si>
  <si>
    <t>1kg de pollo con muslo</t>
  </si>
  <si>
    <t>40 de croquetas</t>
  </si>
  <si>
    <t xml:space="preserve"> 10 de retazo</t>
  </si>
  <si>
    <t>pedido de farmacia gjr</t>
  </si>
  <si>
    <t>Panque de pàsas bimbo</t>
  </si>
  <si>
    <t xml:space="preserve"> 2 doraditas</t>
  </si>
  <si>
    <t>leche</t>
  </si>
  <si>
    <t>1 refresco senzao</t>
  </si>
  <si>
    <t>1 Delaware Ponch1 palomitas ACTO naturales</t>
  </si>
  <si>
    <t>1 Peñafiel SOFT de frutos rojos</t>
  </si>
  <si>
    <t>pollo</t>
  </si>
  <si>
    <t xml:space="preserve"> sazonador</t>
  </si>
  <si>
    <t xml:space="preserve"> bolillos</t>
  </si>
  <si>
    <t>Impresiones</t>
  </si>
  <si>
    <t xml:space="preserve"> barrita pritt</t>
  </si>
  <si>
    <t xml:space="preserve"> cinco sobres de bicarbonato</t>
  </si>
  <si>
    <t>Crema alpura 1/4</t>
  </si>
  <si>
    <t xml:space="preserve">2 donas espolvoreadas </t>
  </si>
  <si>
    <t xml:space="preserve">2 sabritas originales </t>
  </si>
  <si>
    <t>2 barritas de piña</t>
  </si>
  <si>
    <t>1 roles individuales de canela</t>
  </si>
  <si>
    <t>2 moños medianos azules</t>
  </si>
  <si>
    <t>4 PANES DEL PAN CHINO</t>
  </si>
  <si>
    <t xml:space="preserve"> 1K DE Tortillas </t>
  </si>
  <si>
    <t>2 garrafones ciel</t>
  </si>
  <si>
    <t xml:space="preserve"> 2 dannet</t>
  </si>
  <si>
    <t xml:space="preserve"> 2 gelatinas gari</t>
  </si>
  <si>
    <t>2 Garrafones Bonafont</t>
  </si>
  <si>
    <t>1k de pierna con muslo sin piel2 chayotes</t>
  </si>
  <si>
    <t>1 pollo adobado</t>
  </si>
  <si>
    <t>2 pepinos</t>
  </si>
  <si>
    <t>1/4de croqueta para gato</t>
  </si>
  <si>
    <t>12 de tortillas</t>
  </si>
  <si>
    <t>1 paquete de pañales j</t>
  </si>
  <si>
    <t>1 caguama</t>
  </si>
  <si>
    <t xml:space="preserve"> 1/4 de jamon y de queso oaxaca</t>
  </si>
  <si>
    <t>1 bonafont 20l</t>
  </si>
  <si>
    <t>2 focos</t>
  </si>
  <si>
    <t xml:space="preserve"> 2 maruchas</t>
  </si>
  <si>
    <t xml:space="preserve"> 2 danets</t>
  </si>
  <si>
    <t xml:space="preserve">Latte tamaño grande con leche deslactosada media carga </t>
  </si>
  <si>
    <t xml:space="preserve">  1moka deslactosado tamaño grande</t>
  </si>
  <si>
    <t>onesa mediana</t>
  </si>
  <si>
    <t xml:space="preserve">Kilo </t>
  </si>
  <si>
    <t xml:space="preserve"> medio de muslo </t>
  </si>
  <si>
    <t xml:space="preserve"> pierna </t>
  </si>
  <si>
    <t xml:space="preserve">1 coca de 1.25 </t>
  </si>
  <si>
    <t xml:space="preserve"> 1/4 de crema </t>
  </si>
  <si>
    <t xml:space="preserve">1 del valle de 3 l </t>
  </si>
  <si>
    <t>Columna2</t>
  </si>
  <si>
    <t xml:space="preserve"> jarrito</t>
  </si>
  <si>
    <t xml:space="preserve"> paquetre de salchicchas pavo  food </t>
  </si>
  <si>
    <t xml:space="preserve"> caldo de pollo</t>
  </si>
  <si>
    <t xml:space="preserve"> garrafon</t>
  </si>
  <si>
    <t xml:space="preserve"> doritos nacho</t>
  </si>
  <si>
    <t xml:space="preserve">0l de leche alpura </t>
  </si>
  <si>
    <t xml:space="preserve"> cv</t>
  </si>
  <si>
    <t xml:space="preserve"> suavitel</t>
  </si>
  <si>
    <t>arena para gatos</t>
  </si>
  <si>
    <t>pechuga entera</t>
  </si>
  <si>
    <t>huevo kinder</t>
  </si>
  <si>
    <t>garrafon de bonafont</t>
  </si>
  <si>
    <t>Mega</t>
  </si>
  <si>
    <t>Bolsa de palomitas</t>
  </si>
  <si>
    <t xml:space="preserve">garrafon </t>
  </si>
  <si>
    <t>leche clavel</t>
  </si>
  <si>
    <t>Rufles Queso grandes</t>
  </si>
  <si>
    <t>corona mega</t>
  </si>
  <si>
    <t>refresco senzao</t>
  </si>
  <si>
    <t>pollo adobado</t>
  </si>
  <si>
    <t>paquete de pañales j</t>
  </si>
  <si>
    <t>caguama</t>
  </si>
  <si>
    <t>cabeza de ajo</t>
  </si>
  <si>
    <t>bonafont 20l</t>
  </si>
  <si>
    <t xml:space="preserve"> servicio extra</t>
  </si>
  <si>
    <t xml:space="preserve"> coca de 1.750</t>
  </si>
  <si>
    <t xml:space="preserve"> coca de lata</t>
  </si>
  <si>
    <t>bote de estudio</t>
  </si>
  <si>
    <t xml:space="preserve"> coca de 3l</t>
  </si>
  <si>
    <t>jax</t>
  </si>
  <si>
    <t xml:space="preserve"> coca 250ml</t>
  </si>
  <si>
    <t xml:space="preserve"> agucate</t>
  </si>
  <si>
    <t xml:space="preserve"> coca de de 1.70</t>
  </si>
  <si>
    <t xml:space="preserve">lata de piña en almibar </t>
  </si>
  <si>
    <t xml:space="preserve"> takis dragon si no hay morados </t>
  </si>
  <si>
    <t>tostadas</t>
  </si>
  <si>
    <t xml:space="preserve"> mineral</t>
  </si>
  <si>
    <t xml:space="preserve"> galletas marias</t>
  </si>
  <si>
    <t xml:space="preserve"> Kg huevo</t>
  </si>
  <si>
    <t xml:space="preserve"> COCA DE 1.25</t>
  </si>
  <si>
    <t xml:space="preserve"> mineral de 2l</t>
  </si>
  <si>
    <t xml:space="preserve"> papas</t>
  </si>
  <si>
    <t xml:space="preserve"> marucha de pollo</t>
  </si>
  <si>
    <t xml:space="preserve"> lata</t>
  </si>
  <si>
    <t xml:space="preserve"> mango</t>
  </si>
  <si>
    <t xml:space="preserve"> tostadas</t>
  </si>
  <si>
    <t xml:space="preserve"> jarrito 2l</t>
  </si>
  <si>
    <t xml:space="preserve"> dannet</t>
  </si>
  <si>
    <t>coca de 1.75</t>
  </si>
  <si>
    <t xml:space="preserve">caja de pan molido </t>
  </si>
  <si>
    <t xml:space="preserve"> chetos torciditos rufles doritos </t>
  </si>
  <si>
    <t>Peñafiel SOFT de frutos rojos</t>
  </si>
  <si>
    <t xml:space="preserve"> valentia</t>
  </si>
  <si>
    <t xml:space="preserve"> pan molido </t>
  </si>
  <si>
    <t xml:space="preserve"> mundet de 3l</t>
  </si>
  <si>
    <t>arroz del valle</t>
  </si>
  <si>
    <t>doritos incognita</t>
  </si>
  <si>
    <t xml:space="preserve"> mineral 2l</t>
  </si>
  <si>
    <t>doritos negros</t>
  </si>
  <si>
    <t xml:space="preserve"> lechera</t>
  </si>
  <si>
    <t xml:space="preserve"> pan bimbo chico</t>
  </si>
  <si>
    <t xml:space="preserve"> caja de malboro</t>
  </si>
  <si>
    <t>paquete de galletas piruetas</t>
  </si>
  <si>
    <t>aguacate</t>
  </si>
  <si>
    <t>roles individuales de canela</t>
  </si>
  <si>
    <t xml:space="preserve"> lata dew frijoles</t>
  </si>
  <si>
    <t>servicio de tintoreria</t>
  </si>
  <si>
    <t>lata de frijoles refritos negros.</t>
  </si>
  <si>
    <t xml:space="preserve"> delawer 2l</t>
  </si>
  <si>
    <t xml:space="preserve"> servicio extra </t>
  </si>
  <si>
    <t>kg de tortillas</t>
  </si>
  <si>
    <t>1kg de toerillas</t>
  </si>
  <si>
    <t>1kg de crouqtea para gato</t>
  </si>
  <si>
    <t xml:space="preserve"> kg de tortillas </t>
  </si>
  <si>
    <t xml:space="preserve"> 1kg DE Tortillas </t>
  </si>
  <si>
    <t>1kg de tortillas</t>
  </si>
  <si>
    <t>2kg de huevo</t>
  </si>
  <si>
    <t xml:space="preserve"> m1pechiuga 1kg de muslo y pierna </t>
  </si>
  <si>
    <t xml:space="preserve"> paquetes de mantecadas</t>
  </si>
  <si>
    <t xml:space="preserve"> pan dulce</t>
  </si>
  <si>
    <t xml:space="preserve"> tortas de milanesa con salchica</t>
  </si>
  <si>
    <t xml:space="preserve"> maruchas</t>
  </si>
  <si>
    <t xml:space="preserve"> muslos en forma de bistec</t>
  </si>
  <si>
    <t xml:space="preserve"> garrafones</t>
  </si>
  <si>
    <t xml:space="preserve"> bolsas de pozole</t>
  </si>
  <si>
    <t xml:space="preserve"> mangos</t>
  </si>
  <si>
    <t xml:space="preserve"> manzanas</t>
  </si>
  <si>
    <t xml:space="preserve"> garrafones ciel</t>
  </si>
  <si>
    <t xml:space="preserve"> cajas lucky suaves </t>
  </si>
  <si>
    <t xml:space="preserve"> Garrafones Bonafont</t>
  </si>
  <si>
    <t xml:space="preserve"> garrafones de bonafontn 10L</t>
  </si>
  <si>
    <t xml:space="preserve">  cocas sin azucar</t>
  </si>
  <si>
    <t xml:space="preserve"> cocas</t>
  </si>
  <si>
    <t xml:space="preserve">  gelatinas</t>
  </si>
  <si>
    <t xml:space="preserve"> paletas de hielo </t>
  </si>
  <si>
    <t xml:space="preserve">  cocas 0</t>
  </si>
  <si>
    <t xml:space="preserve">  doraditas</t>
  </si>
  <si>
    <t xml:space="preserve"> donas espolvoreadas </t>
  </si>
  <si>
    <t>1kg de pierna con muslo sin piel chayotes</t>
  </si>
  <si>
    <t xml:space="preserve"> focos</t>
  </si>
  <si>
    <t xml:space="preserve">  doritos nacho </t>
  </si>
  <si>
    <t xml:space="preserve"> sabritas originales </t>
  </si>
  <si>
    <t xml:space="preserve">  dannet</t>
  </si>
  <si>
    <t xml:space="preserve"> pepinos</t>
  </si>
  <si>
    <t xml:space="preserve"> doritis sal y limón</t>
  </si>
  <si>
    <t xml:space="preserve"> barritas de piña</t>
  </si>
  <si>
    <t xml:space="preserve">  gelatinas gari</t>
  </si>
  <si>
    <t xml:space="preserve"> botes de spagueti</t>
  </si>
  <si>
    <t xml:space="preserve">  cocas reto de 3l</t>
  </si>
  <si>
    <t xml:space="preserve"> moños medianos azules</t>
  </si>
  <si>
    <t xml:space="preserve"> crema de 1/22</t>
  </si>
  <si>
    <t>naturales palomitas</t>
  </si>
  <si>
    <t xml:space="preserve"> refrescos de 600 mordisco </t>
  </si>
  <si>
    <t xml:space="preserve"> gelatinas yakul</t>
  </si>
  <si>
    <t>Rollo de papel yakul</t>
  </si>
  <si>
    <t>bolillos</t>
  </si>
  <si>
    <t xml:space="preserve">caguamas </t>
  </si>
  <si>
    <t>PANES DEL PAN CHINO</t>
  </si>
  <si>
    <t>Victoria 2pzs</t>
  </si>
  <si>
    <t>1/2 de crema 1/2de queso</t>
  </si>
  <si>
    <t>barritas de piña</t>
  </si>
  <si>
    <t>barritas</t>
  </si>
  <si>
    <t xml:space="preserve">HAMBURGESAS </t>
  </si>
  <si>
    <t xml:space="preserve">coca de 1.2y 1/2de crema </t>
  </si>
  <si>
    <t>1de tortillas pepsi 1.75</t>
  </si>
  <si>
    <t>$1de tortillas</t>
  </si>
  <si>
    <t xml:space="preserve"> 2de jamon</t>
  </si>
  <si>
    <t xml:space="preserve"> 1de jamon</t>
  </si>
  <si>
    <t>hojas opalinas</t>
  </si>
  <si>
    <t xml:space="preserve">$1pesos de limón </t>
  </si>
  <si>
    <t>1de totillas</t>
  </si>
  <si>
    <t xml:space="preserve"> 1de tortillas</t>
  </si>
  <si>
    <t xml:space="preserve"> hamburgesas </t>
  </si>
  <si>
    <t>1Tacos don dani</t>
  </si>
  <si>
    <t xml:space="preserve"> cubos de pollo</t>
  </si>
  <si>
    <t>bisteck</t>
  </si>
  <si>
    <t xml:space="preserve"> basos del ny bolsa de hielos </t>
  </si>
  <si>
    <t xml:space="preserve"> de retazo</t>
  </si>
  <si>
    <t xml:space="preserve"> de jamon 1d torillas </t>
  </si>
  <si>
    <t>Coca-Cola de 2L</t>
  </si>
  <si>
    <t xml:space="preserve"> papas Sabritas amarillas</t>
  </si>
  <si>
    <t xml:space="preserve"> Coca-Cola de 350ml</t>
  </si>
  <si>
    <t xml:space="preserve"> galletas besos de nuez</t>
  </si>
  <si>
    <t xml:space="preserve"> submarinos de fresa</t>
  </si>
  <si>
    <t xml:space="preserve"> rancheritos</t>
  </si>
  <si>
    <t xml:space="preserve"> kinder delice</t>
  </si>
  <si>
    <t xml:space="preserve"> galletas emperador de nuez</t>
  </si>
  <si>
    <t>Crema alpura 1/2</t>
  </si>
  <si>
    <t>Jamon pierna 1/2</t>
  </si>
  <si>
    <t>pan bimbo</t>
  </si>
  <si>
    <t xml:space="preserve">entregar paquete de mercado liber </t>
  </si>
  <si>
    <t xml:space="preserve">sprite de 600 ml </t>
  </si>
  <si>
    <t>agua de frutos rojos bonafont</t>
  </si>
  <si>
    <t>pan Bimbo grande</t>
  </si>
  <si>
    <t>jabón axxe</t>
  </si>
  <si>
    <t xml:space="preserve"> paquete de salchichas para hotdog</t>
  </si>
  <si>
    <t xml:space="preserve"> litro de leche Alpura</t>
  </si>
  <si>
    <t xml:space="preserve"> Suavitel azul</t>
  </si>
  <si>
    <t xml:space="preserve"> paquete de medias noches</t>
  </si>
  <si>
    <t>garrafón de agua5l</t>
  </si>
  <si>
    <t xml:space="preserve"> cereal lfrutloops</t>
  </si>
  <si>
    <t>chocolate</t>
  </si>
  <si>
    <t xml:space="preserve"> arroz</t>
  </si>
  <si>
    <t xml:space="preserve"> fabuloso azul</t>
  </si>
  <si>
    <t>papel aluminio</t>
  </si>
  <si>
    <t>cereal zucaritas</t>
  </si>
  <si>
    <t>topo chico</t>
  </si>
  <si>
    <t xml:space="preserve"> Tehuacán de a 600</t>
  </si>
  <si>
    <t>jugo de manzana de litro</t>
  </si>
  <si>
    <t xml:space="preserve">jarrito de uva </t>
  </si>
  <si>
    <t xml:space="preserve"> garrafón de agua 10l</t>
  </si>
  <si>
    <t>suerox de uva</t>
  </si>
  <si>
    <t xml:space="preserve"> platanos </t>
  </si>
  <si>
    <t>rancheritos</t>
  </si>
  <si>
    <t>mayonesa mediana</t>
  </si>
  <si>
    <t>coca de lata sin azúcar</t>
  </si>
  <si>
    <t>del valle de l y Magnum</t>
  </si>
  <si>
    <t>1kg jitomate medio de chiles cabeza de ajo</t>
  </si>
  <si>
    <t>coca de  litros</t>
  </si>
  <si>
    <t>crema alpura de 1/2</t>
  </si>
  <si>
    <t>Mundet roja prisco</t>
  </si>
  <si>
    <t xml:space="preserve"> coca de a litro y medio</t>
  </si>
  <si>
    <t>Frecuencia</t>
  </si>
  <si>
    <t>1/2 Kg de bisteck</t>
  </si>
  <si>
    <t>lucky</t>
  </si>
  <si>
    <t>Columna12</t>
  </si>
  <si>
    <t>Columna13</t>
  </si>
  <si>
    <t>Original</t>
  </si>
  <si>
    <t>Unos marlboro blancosy unos 100 rojosa</t>
  </si>
  <si>
    <t xml:space="preserve">Dos cocas sin azúcar 600 </t>
  </si>
  <si>
    <t>10 de tortillas</t>
  </si>
  <si>
    <t>Unas charolas</t>
  </si>
  <si>
    <t>Y unos platos chicos</t>
  </si>
  <si>
    <t>1frijoles</t>
  </si>
  <si>
    <t>1 arroz</t>
  </si>
  <si>
    <t>2l de coca</t>
  </si>
  <si>
    <t>3 hot dog simple</t>
  </si>
  <si>
    <t>1 chiken beak</t>
  </si>
  <si>
    <t xml:space="preserve">1 donitas espolvoreadas </t>
  </si>
  <si>
    <t xml:space="preserve"> refresco delaware grande </t>
  </si>
  <si>
    <t xml:space="preserve">1/4 de jamón de pierna </t>
  </si>
  <si>
    <t>1 tortillinas</t>
  </si>
  <si>
    <t xml:space="preserve">3 pozoles grandes </t>
  </si>
  <si>
    <t xml:space="preserve">1 orden de enchiladas verdes </t>
  </si>
  <si>
    <t xml:space="preserve">4 flanes de la abuela de cajeta </t>
  </si>
  <si>
    <t xml:space="preserve">40 queso manchego </t>
  </si>
  <si>
    <t>1 tortillas de harina</t>
  </si>
  <si>
    <t>30 jamón</t>
  </si>
  <si>
    <t>1 pan Bimbo g</t>
  </si>
  <si>
    <t xml:space="preserve">1 lata de leche Nestlé </t>
  </si>
  <si>
    <t>1 coca sin azúcar grande litro y medio</t>
  </si>
  <si>
    <t>1 litro de leche alpura entera</t>
  </si>
  <si>
    <t>1 toallas sanitarias nocturnas</t>
  </si>
  <si>
    <t xml:space="preserve">1 crema alpura medio </t>
  </si>
  <si>
    <t>2 red bull y 3 barritas de piña y 2 fritos sal</t>
  </si>
  <si>
    <t>unas papas sabritas normales</t>
  </si>
  <si>
    <t>Columna3</t>
  </si>
  <si>
    <t>Columna4</t>
  </si>
  <si>
    <t>Columna5</t>
  </si>
  <si>
    <t>Columna6</t>
  </si>
  <si>
    <t>Columna7</t>
  </si>
  <si>
    <t>Columna8</t>
  </si>
  <si>
    <t>Columna9</t>
  </si>
  <si>
    <t>Columna10</t>
  </si>
  <si>
    <t>Columna11</t>
  </si>
  <si>
    <t xml:space="preserve">2 red bull </t>
  </si>
  <si>
    <t xml:space="preserve"> 3 barritas de piña </t>
  </si>
  <si>
    <t xml:space="preserve"> 2 fritos sal</t>
  </si>
  <si>
    <t>Columna14</t>
  </si>
  <si>
    <t>1.5 kg muslo</t>
  </si>
  <si>
    <t>1.5 kg pierna</t>
  </si>
  <si>
    <t>1 lucky</t>
  </si>
  <si>
    <t>2 cajas lucky suaves</t>
  </si>
  <si>
    <t>1mayonesa mediana</t>
  </si>
  <si>
    <t>1ma</t>
  </si>
  <si>
    <t>1coca de lata sin azúcar</t>
  </si>
  <si>
    <t>1coca de 2 litros</t>
  </si>
  <si>
    <t>1Mundet roja prisco</t>
  </si>
  <si>
    <t>1 del valle de 3 l y 1Magnum</t>
  </si>
  <si>
    <t xml:space="preserve"> 1Magnum</t>
  </si>
  <si>
    <t>1crema alpura de 1/4</t>
  </si>
  <si>
    <t xml:space="preserve"> 1coca de a litro y medio</t>
  </si>
  <si>
    <t>1kg jitomate medio de chiles 1cabeza de ajo</t>
  </si>
  <si>
    <t>124 de victorias</t>
  </si>
  <si>
    <t xml:space="preserve">1paquete de vasos desechables </t>
  </si>
  <si>
    <t>1agua pero 10l</t>
  </si>
  <si>
    <t xml:space="preserve"> 1paquete de salchichas para hotdog</t>
  </si>
  <si>
    <t xml:space="preserve"> 1paquete de medias noches</t>
  </si>
  <si>
    <t>1pan bimbo</t>
  </si>
  <si>
    <t>1garrafón de agua5l</t>
  </si>
  <si>
    <t>1papel aluminio</t>
  </si>
  <si>
    <t xml:space="preserve">1jarrito de uva </t>
  </si>
  <si>
    <t xml:space="preserve">entregar 1paquete de mercado liber </t>
  </si>
  <si>
    <t xml:space="preserve">1sprite de 600 ml </t>
  </si>
  <si>
    <t>1agua de frutos rojos bonafont</t>
  </si>
  <si>
    <t xml:space="preserve"> 1litro de leche Alpura</t>
  </si>
  <si>
    <t xml:space="preserve"> 1cereal lfrutloops</t>
  </si>
  <si>
    <t>1cereal zucaritas</t>
  </si>
  <si>
    <t>1jugo de manzana de litro</t>
  </si>
  <si>
    <t>1suerox de uva</t>
  </si>
  <si>
    <t>1chocolate</t>
  </si>
  <si>
    <t>1topo chico</t>
  </si>
  <si>
    <t>1pan Bimbo grande</t>
  </si>
  <si>
    <t xml:space="preserve"> 1arroz</t>
  </si>
  <si>
    <t>1jabón axxe</t>
  </si>
  <si>
    <t xml:space="preserve"> 1Suavitel azul</t>
  </si>
  <si>
    <t xml:space="preserve"> 1fabuloso azul</t>
  </si>
  <si>
    <t xml:space="preserve"> 1Tehuacán de a 600</t>
  </si>
  <si>
    <t xml:space="preserve"> 1garrafón de agua 10l</t>
  </si>
  <si>
    <t>, 1 sándwich simple</t>
  </si>
  <si>
    <t xml:space="preserve">, 1 ensalada </t>
  </si>
  <si>
    <t>, 1 coca de 1.750</t>
  </si>
  <si>
    <t>, 1 caja de malboro</t>
  </si>
  <si>
    <t>, 1 coca de lata</t>
  </si>
  <si>
    <t>, 1 mango</t>
  </si>
  <si>
    <t xml:space="preserve"> 2 poepinos, 1 cigarros de 14 </t>
  </si>
  <si>
    <t>, 1 tostadas</t>
  </si>
  <si>
    <t xml:space="preserve">, 1 pan molido </t>
  </si>
  <si>
    <t>, 1 mundet de 3l</t>
  </si>
  <si>
    <t xml:space="preserve">1/4doble crema, 1 maolboro  rojos </t>
  </si>
  <si>
    <t>, 1 crema de 1/2</t>
  </si>
  <si>
    <t>, 1 jarrito 2l</t>
  </si>
  <si>
    <t xml:space="preserve"> 3 refrescos de 600, 1 mordisco </t>
  </si>
  <si>
    <t>, 1 coca de 3l</t>
  </si>
  <si>
    <t>, 1 dannet</t>
  </si>
  <si>
    <t>, 1 mineral 2l</t>
  </si>
  <si>
    <t>, 1 coca 250ml</t>
  </si>
  <si>
    <t>, 1 agucate</t>
  </si>
  <si>
    <t xml:space="preserve">, 1 k de tortillas </t>
  </si>
  <si>
    <t>, 1 coca de de 1.70</t>
  </si>
  <si>
    <t xml:space="preserve">, 1 basos del n8 y bolsa de hielos </t>
  </si>
  <si>
    <t xml:space="preserve">, 1 takis dragon si no hay morados </t>
  </si>
  <si>
    <t xml:space="preserve">, 1 chetos torciditos, 1 rufles doritos </t>
  </si>
  <si>
    <t>15 de tortillas, 1 pepsi 1.75</t>
  </si>
  <si>
    <t>, 1 mineral</t>
  </si>
  <si>
    <t xml:space="preserve">, 1 coca normnal, 1 papas adobas </t>
  </si>
  <si>
    <t>, 1 galletas marias</t>
  </si>
  <si>
    <t>, 1 lechera</t>
  </si>
  <si>
    <t>, 1 Kg huevo</t>
  </si>
  <si>
    <t>, 1 COCA DE 1.25</t>
  </si>
  <si>
    <t>, 1 mineral de 2l</t>
  </si>
  <si>
    <t>-, 1 Coca-Cola de 2L</t>
  </si>
  <si>
    <t xml:space="preserve"> -, 1 papas Sabritas amarillas</t>
  </si>
  <si>
    <t xml:space="preserve"> -, 1 Coca-Cola de 350ml</t>
  </si>
  <si>
    <t xml:space="preserve"> -, 1 galletas besos de nuez</t>
  </si>
  <si>
    <t xml:space="preserve"> -, 1 submarinos de fresa</t>
  </si>
  <si>
    <t xml:space="preserve"> -, 1 rancheritos</t>
  </si>
  <si>
    <t xml:space="preserve"> -, 1 galletas emperador de nuez</t>
  </si>
  <si>
    <t xml:space="preserve"> -, 1 kinder delice</t>
  </si>
  <si>
    <t xml:space="preserve"> 1/4 de zanahoria, 1 1/2 de tortillas </t>
  </si>
  <si>
    <t>, 1 papas</t>
  </si>
  <si>
    <t>, 1 delawer 2l</t>
  </si>
  <si>
    <t>, 1 marucha de pollo</t>
  </si>
  <si>
    <t>, 1 lata</t>
  </si>
  <si>
    <t>, 1 valentia</t>
  </si>
  <si>
    <t>, 1 pan bimbo chico</t>
  </si>
  <si>
    <t>, 1 lata dew frijoles</t>
  </si>
  <si>
    <t>, 1 servicio extra</t>
  </si>
  <si>
    <t xml:space="preserve"> 1/4 de jamon y de queso, 1 pan tostado</t>
  </si>
  <si>
    <t xml:space="preserve">, 1 servicio extra </t>
  </si>
  <si>
    <t xml:space="preserve">tortillas de harina </t>
  </si>
  <si>
    <t xml:space="preserve">Kilo y medio de  pierna </t>
  </si>
  <si>
    <t>Kilo y medio de muslo</t>
  </si>
  <si>
    <t>Delaware Ponch</t>
  </si>
  <si>
    <t>palomitas ACTO naturales</t>
  </si>
  <si>
    <t>1 kg de azucar</t>
  </si>
  <si>
    <t>1 kg de cilantro</t>
  </si>
  <si>
    <t>1 kg de jamón</t>
  </si>
  <si>
    <t>coca de 1.2</t>
  </si>
  <si>
    <t xml:space="preserve">1/2 de crema </t>
  </si>
  <si>
    <t xml:space="preserve"> 1/2 kg de jamaica de queso blanco</t>
  </si>
  <si>
    <t>Cigarros de pepino</t>
  </si>
  <si>
    <t>Maruchan</t>
  </si>
  <si>
    <t xml:space="preserve"> 1 moka deslactosado tamaño grande</t>
  </si>
  <si>
    <t xml:space="preserve">  bolsas de regalo medianas</t>
  </si>
  <si>
    <t xml:space="preserve"> 2 bolsas de regalo medianas </t>
  </si>
  <si>
    <t>1 kg tortillas</t>
  </si>
  <si>
    <t>1 kg de tortillas</t>
  </si>
  <si>
    <t>1/2 kg de queso oaxaca</t>
  </si>
  <si>
    <t xml:space="preserve"> 1/2 kg de jamon y de queso oaxaca</t>
  </si>
  <si>
    <t xml:space="preserve"> 1/2 kg de zanahoria 1/2 de tortillas </t>
  </si>
  <si>
    <t>1/2 kg de croqueta para gato</t>
  </si>
  <si>
    <t>1/2 kg de longaniza</t>
  </si>
  <si>
    <t>1/2 kg de doble crema</t>
  </si>
  <si>
    <t xml:space="preserve"> 1 marlboro rojos </t>
  </si>
  <si>
    <t xml:space="preserve">1 coca normal </t>
  </si>
  <si>
    <t xml:space="preserve">papas adobas </t>
  </si>
  <si>
    <t xml:space="preserve"> 1 donas espolvoreadas</t>
  </si>
  <si>
    <t xml:space="preserve"> 1/2 kg de jamon</t>
  </si>
  <si>
    <t>1 kg de huevo</t>
  </si>
  <si>
    <t>1 pan tostado</t>
  </si>
  <si>
    <t xml:space="preserve">1/2 kd de queso </t>
  </si>
  <si>
    <t>1/2 barra de queso doble crema chinchota</t>
  </si>
  <si>
    <t xml:space="preserve">Total </t>
  </si>
  <si>
    <t>Invertido</t>
  </si>
  <si>
    <t>Vendido</t>
  </si>
  <si>
    <t>Ganado</t>
  </si>
  <si>
    <t xml:space="preserve">Rebanada de pizza </t>
  </si>
  <si>
    <t xml:space="preserve">Chicken bake </t>
  </si>
  <si>
    <t>Cliente</t>
  </si>
  <si>
    <t>No especificado</t>
  </si>
  <si>
    <t xml:space="preserve">1 jarrito, 1 coca de lata, 1 mango, 2 pepinos 1 cigarros de 14 </t>
  </si>
  <si>
    <t>Abarrotes lupita</t>
  </si>
  <si>
    <t>Carniceria Angel Amado, Abarrotes Marqueza</t>
  </si>
  <si>
    <t>Productoos</t>
  </si>
  <si>
    <t>Abarrotes Marqueza, OXXO</t>
  </si>
  <si>
    <t>costco, Abarrotes Marqueza</t>
  </si>
  <si>
    <t>casa toño</t>
  </si>
  <si>
    <t>Tintoreria</t>
  </si>
  <si>
    <t>Papeleria irma</t>
  </si>
  <si>
    <t>Ticket</t>
  </si>
  <si>
    <t>1 coca 600ml, 1 g</t>
  </si>
  <si>
    <t>Abarrotes Irma, OXXO</t>
  </si>
  <si>
    <t>Abarrotes Irma: 1 gomitas lombis: 20;OXXO: 2 gomitas salvavidas: 84</t>
  </si>
  <si>
    <t>Abarrotes Marqueza: 3L Red cola: 32</t>
  </si>
  <si>
    <t>Abarrotes reyes: 200g jamon: 35, 200g manchego: 45, 200g oaxaca: 35, chico pan bimbo: 30, 20g danonino grande: 15, 20g danonino grande: 15, 12pz tortilla de harina: 25</t>
  </si>
  <si>
    <t>...</t>
  </si>
  <si>
    <t>Abarrotes Marqueza: 1 Garrafon Bonafont 20L</t>
  </si>
  <si>
    <t>Abarrotes Marqueza: 1k huevo: 60, 1L Leche deslactosada santaclara: 30, 3l coca cola: 44</t>
  </si>
  <si>
    <t>Abarrotes Marqueza: 600ml 1 coca sin azucar: 16, 600ml 1 coca sin azucar: 16, 600ml 1 sprite sin azucar: 16, 1/2 pesos tortillas: 10</t>
  </si>
  <si>
    <t>Abarrotes Marqueza: 40l 2 garrafones bonafont: 120</t>
  </si>
  <si>
    <t>Abarrotes Marqueza:  Dos Marucham de pollo: 38,  Dos flanes danet: 28, 2l Dos litros de leche alpura: 57,  1 pan tostado: 35, 5 sobres de chicomilk: 50</t>
  </si>
  <si>
    <t>Abarrotes Marqueza: 3k azucar: 115, 1/4 Queso panela: 30</t>
  </si>
  <si>
    <t>Abarrotes Marqueza: 110g Pringles originales: 80, 1l Pawer azul: 30</t>
  </si>
  <si>
    <t>26/02/2025 21:25:25</t>
  </si>
  <si>
    <t>Lili Olivar</t>
  </si>
  <si>
    <t>Hacienda Conde 48</t>
  </si>
  <si>
    <t xml:space="preserve">2 paquetes de gomitas salvadidas, 1 paquete de gomitas de lombis </t>
  </si>
  <si>
    <t>26/02/2025 21:13:02</t>
  </si>
  <si>
    <t>Karen</t>
  </si>
  <si>
    <t>edi 20 A dep 104</t>
  </si>
  <si>
    <t>1 red cola de 3l</t>
  </si>
  <si>
    <t>26/02/2025 21:04:17</t>
  </si>
  <si>
    <t>200G de jamon, manchego y oaxaca 2 danoninos,1 pan chico</t>
  </si>
  <si>
    <t>26/02/2025 17:43:07</t>
  </si>
  <si>
    <t xml:space="preserve">Fernando Lopez </t>
  </si>
  <si>
    <t>Edi 19B dep 502</t>
  </si>
  <si>
    <t>1 garrafon bonafont 20l</t>
  </si>
  <si>
    <t>26/02/2025 17:38:59</t>
  </si>
  <si>
    <t>1 kg de huevo , 1 leche deslactosada santa clara ., 1 coca de 3l</t>
  </si>
  <si>
    <t>26/02/2025 17:35:35</t>
  </si>
  <si>
    <t>Mary Carmen</t>
  </si>
  <si>
    <t>dept 17B 101</t>
  </si>
  <si>
    <t>2 cosacos 600</t>
  </si>
  <si>
    <t>26/02/2025 15:25:20</t>
  </si>
  <si>
    <t>dos cocas sin azucar, Dos spray sin azucar,10 de tortillas, 20 de azúcar, 1k de huevo</t>
  </si>
  <si>
    <t>26/02/2025 13:16:28</t>
  </si>
  <si>
    <t>2 garrafones bonafont 20l</t>
  </si>
  <si>
    <t>25/02/2025 21:47:51</t>
  </si>
  <si>
    <t>Dos Marucham de pollo, Dos flanes danet,Dos litros de leche alpura,Un pan tostado y una mantequillaY 5 sobres de chicomilk</t>
  </si>
  <si>
    <t>25/02/2025 17:19:34</t>
  </si>
  <si>
    <t>Edi 1B Dep 101</t>
  </si>
  <si>
    <t>3 kilos de azúcar,30 de panela</t>
  </si>
  <si>
    <t>25/02/2025 17:14:51</t>
  </si>
  <si>
    <t>Unas Pringles originales y un Pawer azul</t>
  </si>
  <si>
    <t>25/02/2025 17:14:09</t>
  </si>
  <si>
    <t>Sayra Diez</t>
  </si>
  <si>
    <t>dep 24B edi 303</t>
  </si>
  <si>
    <t>un suavitel amarillo, un jabón líquido para ropa y un vanish</t>
  </si>
  <si>
    <t>Moy y peligro</t>
  </si>
  <si>
    <t xml:space="preserve">Moy y chico peligro </t>
  </si>
  <si>
    <t>Moy y ch.peligro</t>
  </si>
  <si>
    <t>27/02/2025 16:51:41</t>
  </si>
  <si>
    <t>na cabeza de brocoli, 1 pimiento verde medianito y $80 de chicharron, 1k de tomate</t>
  </si>
  <si>
    <t>27/02/2025 16:43:10</t>
  </si>
  <si>
    <t>1 coca 1.75,20 tortillas</t>
  </si>
  <si>
    <t>Recauderia Judith: 1 brocoli: 16, 1 tomate verde: 1/2, 1 chicharron 80 pesos: 80</t>
  </si>
  <si>
    <t>tortilleria, Abarrotes Marqueza</t>
  </si>
  <si>
    <t>tortilleria: 1 1k de tortillas: 20;Abarrotes Marqueza: 1 coca de 1.75: 36</t>
  </si>
  <si>
    <t>27/02/2025 21:08:14</t>
  </si>
  <si>
    <t>1 naranjada de 2l,1 cigarros de 14,1 crema de 1/2</t>
  </si>
  <si>
    <t>Abarrotes Marqueza: 1 crema de 1/2: 44, 1 cigarros de 14: 50</t>
  </si>
  <si>
    <t xml:space="preserve">Karen </t>
  </si>
  <si>
    <t>56 1179 7391</t>
  </si>
  <si>
    <t>edi 20A depo 102</t>
  </si>
  <si>
    <t>1 garrafon de 20l</t>
  </si>
  <si>
    <t>27/02/2025 21:44:00</t>
  </si>
  <si>
    <t>1 spryte sin azucar, 1 coca de 600 sin azucxar,1 lechera</t>
  </si>
  <si>
    <t>27/02/2025 22:41:38</t>
  </si>
  <si>
    <t xml:space="preserve">moy </t>
  </si>
  <si>
    <t xml:space="preserve">Nota </t>
  </si>
  <si>
    <t xml:space="preserve">Costco: lista para trabajadores forms,lista de excel, agenda </t>
  </si>
  <si>
    <t>actualizacacion del sistema de pedidito</t>
  </si>
  <si>
    <t>1 Kg de tortillas,1 coca de 1.75,- 1 emperador de nuez ,- 1 Tehuacán de 600ml, - 1 pastisetasL</t>
  </si>
  <si>
    <t>28/02/2025 17:02:04</t>
  </si>
  <si>
    <t>Abarrotes Marqueza: 1 1/2k de tortillas: 10, 1 coca de 1.75: 36, 1 emperador de nuez: 20, 1 Pasticetas: 22</t>
  </si>
  <si>
    <t>2 cajas de pizza,1 frape, 1 smoothie,1 galletota</t>
  </si>
  <si>
    <t>28/02/2025 17:08:10</t>
  </si>
  <si>
    <t>Costco</t>
  </si>
  <si>
    <t>Costco: 2 caja de pizza peperoni: 440, 1 galletota: 40, 1 chiken beak: 90, 1 frape: 35, 1 frape: 35, 1 smoothie: 35, 1 jugo mango: 18, 1 jugo uva: 18</t>
  </si>
  <si>
    <t>1 caja de pizza,1 chiken beak,2 galletotas,3 refrescos</t>
  </si>
  <si>
    <t>28/02/2025 17:21:08</t>
  </si>
  <si>
    <t>Costco, Abarrotes Marqueza</t>
  </si>
  <si>
    <t>Costco: 1 caja de pizza: 220, 1 chiken beak: 90, 2 gallettotas: 80;Abarrotes Marqueza: 2 fuze tea: 40, 1 Manzana 1.75: 28</t>
  </si>
  <si>
    <t>Abarrotes Marqueza: 1 coca sin azucar 600ml: 14, 1 1 sprit  600: 15, 1 lechera: 22</t>
  </si>
  <si>
    <t>Abarrotes Marqueza: 1 Garrafon Bonafont 20L: 69</t>
  </si>
  <si>
    <t>Ageregar tabla de descuentos</t>
  </si>
  <si>
    <t>24/02/2025 20:53:05</t>
  </si>
  <si>
    <t>1 mineral 2l</t>
  </si>
  <si>
    <t>24/02/2025 20:52:03</t>
  </si>
  <si>
    <t>1 bonafot 20l</t>
  </si>
  <si>
    <t>24/02/2025 19:39:55</t>
  </si>
  <si>
    <t>24B</t>
  </si>
  <si>
    <t>edi24B dept 302</t>
  </si>
  <si>
    <t xml:space="preserve">6l alpura,40 pac de pañales etapa 7,1 1/2 jamoca  </t>
  </si>
  <si>
    <t>24/02/2025 19:36:12</t>
  </si>
  <si>
    <t>Pastrano</t>
  </si>
  <si>
    <t>Hacienda rosario 111</t>
  </si>
  <si>
    <t xml:space="preserve"> 2 lápices bicolor,Rojo con lápiz</t>
  </si>
  <si>
    <t>24/02/2025 18:20:43</t>
  </si>
  <si>
    <t>Andrea Oviedo</t>
  </si>
  <si>
    <t>Dep 45b Edi 403</t>
  </si>
  <si>
    <t>Seria la 1 bolsas de jamaica  1 kilo de jitomate, 1 de platano, 1 demanzana roja,1 manojo de Espinaca y 1 kg de zanahoria y 1 charolita de chicharos pelados,cabeza de ajo</t>
  </si>
  <si>
    <t>24/02/2025 15:19:55</t>
  </si>
  <si>
    <t>dept 36A edi302</t>
  </si>
  <si>
    <t>24/02/2025 15:16:35</t>
  </si>
  <si>
    <t>31B 503</t>
  </si>
  <si>
    <t>Pan Bimbo ,Queso 20,To rtillas,1 jarrito 2l,100g de goahiyo,1 La lechera</t>
  </si>
  <si>
    <t>22/02/2025 18:49:32</t>
  </si>
  <si>
    <t xml:space="preserve">Luisa </t>
  </si>
  <si>
    <t>edi14a dept 204</t>
  </si>
  <si>
    <t>7 hot dog</t>
  </si>
  <si>
    <t>22/02/2025 18:47:32</t>
  </si>
  <si>
    <t>6 paquete de baño</t>
  </si>
  <si>
    <t>22/02/2025 18:45:49</t>
  </si>
  <si>
    <t>1 pizza, 1 hotdog, 1 mega</t>
  </si>
  <si>
    <t>22/02/2025 18:43:36</t>
  </si>
  <si>
    <t xml:space="preserve">7 hot dog y 1 galleta </t>
  </si>
  <si>
    <t>22/02/2025 18:40:49</t>
  </si>
  <si>
    <t xml:space="preserve">1 pizza de peperoni con queso </t>
  </si>
  <si>
    <t>22/02/2025 16:18:08</t>
  </si>
  <si>
    <t>edifi 27A Depto 201</t>
  </si>
  <si>
    <t>2 gansitos,1 coca 1.75,1k de tortillas</t>
  </si>
  <si>
    <t>22/02/2025 16:15:56</t>
  </si>
  <si>
    <t>1 madalenas,1 crema de 1/2</t>
  </si>
  <si>
    <t>22/02/2025 16:13:10</t>
  </si>
  <si>
    <t>1 coca 1.75,10 pesos de tortillas, - 1 suavitel,1 palomitas naturales</t>
  </si>
  <si>
    <t>zorro, Abarrotes Marqueza</t>
  </si>
  <si>
    <t xml:space="preserve">papeleria irma </t>
  </si>
  <si>
    <t xml:space="preserve">tortilleria,marquesa </t>
  </si>
  <si>
    <t xml:space="preserve">tortilleria y marquesa </t>
  </si>
  <si>
    <t>modelorama y oxxo</t>
  </si>
  <si>
    <t>3 pizza de litte cesar</t>
  </si>
  <si>
    <t>oxxo prados</t>
  </si>
  <si>
    <t xml:space="preserve">Aldo oxxo </t>
  </si>
  <si>
    <t>28/02/2025 22:30:04</t>
  </si>
  <si>
    <t>1 jose cuervo,1 mineral,1 lomonada de 2l, 1 cacahiates, 1 papas chetos flaminhot, 1 chocolate carlos v,1 cacahuates japoneses</t>
  </si>
  <si>
    <t>edi 9B dep 504</t>
  </si>
  <si>
    <t xml:space="preserve">Esposa Tierno </t>
  </si>
  <si>
    <t>28/02/2025 22:35:43</t>
  </si>
  <si>
    <t>Litte cesar: 3 peperoni: 300;Abarrotes Marqueza: 2 caguama corona: 92, 4 limones: 12, 1 cidral 600ml: 18</t>
  </si>
  <si>
    <t>Litte cesar, Abarrotes Marqueza</t>
  </si>
  <si>
    <t>OXXO: 1 jose cuervo 750ml: 370, 1 mineral de 2l: 28, 1 limonada  de 2l: 30, 1 cacahuates japonses: 12, 1 carlos v: 18, 1 hielos: 30, 2 pepitas bolsa: 30, 1 chetos flamin hot: 40</t>
  </si>
  <si>
    <t>Moy y chicoP</t>
  </si>
  <si>
    <t>Un electrolitos de coco,Una veladora,Dos yakult,15 de tortillas, 1 lechuga,Una coca sin azúcar litro y medio</t>
  </si>
  <si>
    <t>Abarrotes Marqueza: 1 Una coca sin azúcar litro y medio: 29, 1 tortillas: 15, 1 electrolitos de coco: 30, 2 yakult: 24</t>
  </si>
  <si>
    <t xml:space="preserve">Esther Jasso </t>
  </si>
  <si>
    <t>55 2957 3104</t>
  </si>
  <si>
    <t>Hacienda olivar del conde</t>
  </si>
  <si>
    <t xml:space="preserve">1k de molida </t>
  </si>
  <si>
    <t>Carniceria Angel Amado: 1k molida: 200</t>
  </si>
  <si>
    <t>1 barra de chilchota,3 barritas de piña,1 lechera, 2 sabritas de sal, 1 fritos</t>
  </si>
  <si>
    <t>Abarrotes Marqueza: 3 Barrita de piña: 42, 1 Barra chilchota: 200, 2 sabritas de sal: 40, 1 lechera: 20, 1 salsa: 28</t>
  </si>
  <si>
    <t>9 plantillas de circulo, 1 sacapuntas</t>
  </si>
  <si>
    <t>Papeleria jose: 9 plantillas de circulo: 63, 1 sacapuntas de contenedor: 22</t>
  </si>
  <si>
    <t>desde 25.02.25</t>
  </si>
  <si>
    <t>56 3775 0397</t>
  </si>
  <si>
    <t xml:space="preserve">Edif 24B </t>
  </si>
  <si>
    <t>5 botellas de agua 600, 5 sobres de te,1k de huevpo</t>
  </si>
  <si>
    <t>Abarrotes Marqueza: 1 kilo de huevo: 60, 5 agua 500ml: 75, 5 sobres de te: 40</t>
  </si>
  <si>
    <t>Moy Fer Chico eligro</t>
  </si>
  <si>
    <t>Utlildad</t>
  </si>
  <si>
    <t>It Services</t>
  </si>
  <si>
    <t>Workforce</t>
  </si>
  <si>
    <t>1 bolsa de hielo</t>
  </si>
  <si>
    <t>OXXO: 1 hielo: 37</t>
  </si>
  <si>
    <t>2 papeles de baño,1 aluminio2 sprite,</t>
  </si>
  <si>
    <t>Abarrotes Marqueza: 2 papel de baño: 20, 1 aluminio: 32, 2 sprite: 28, 2 fibras: 24</t>
  </si>
  <si>
    <t>1 lata de chipotle MEDIANA,1 Pepsi de 2L,- 1 tostadas charras,- 1 Coca-Cola de 400ml,- 1 chocolate Carlos V,- 1 yogur Alpura de manzana de vasito</t>
  </si>
  <si>
    <t>OXXO: 1 pepesi 2l: 35;Abarrotes Marqueza: 1 tostadas charras: 40, 1 Coca-Cola de 400ml: 12, 1 chocolate Carlos V: 14, 1 yogur Alpura de manzana de vasito: 15</t>
  </si>
  <si>
    <t xml:space="preserve">2m de resorte para mochila, 2 gomas, 2 sacapuntas,1 bolsa, 1 silicon </t>
  </si>
  <si>
    <t>Papeleria jose: 1 silicon: 20, 1 bolsa: 10, 2 gomas: 20, 2 sacapuntas: 20</t>
  </si>
  <si>
    <t>15b</t>
  </si>
  <si>
    <t>55 2559 4341</t>
  </si>
  <si>
    <t>Edi 15B dept 503</t>
  </si>
  <si>
    <t>4 cocas de 3l</t>
  </si>
  <si>
    <t>Abarrotes reyes: 4 coca de 3l reto: 144</t>
  </si>
  <si>
    <t>Valeria 46a</t>
  </si>
  <si>
    <t>1 garrafon de 20 y 1 de 10 l</t>
  </si>
  <si>
    <t>Abarrotes Marqueza: 1 garrafon de20: 61, 1 garrafon de10l: 43, 2 santa clara 1l: 60</t>
  </si>
  <si>
    <t>3 barritas de piña, 2 donas spolvoreadas,2 lecheras</t>
  </si>
  <si>
    <t>Abarrotes Marqueza: 2 lecheras: 40, 3 barritas de piña: 45, 2 donas spolvoreadas: 44</t>
  </si>
  <si>
    <t xml:space="preserve">Kari Santiago </t>
  </si>
  <si>
    <t xml:space="preserve">55 5432 7676 </t>
  </si>
  <si>
    <t>hacienda Santiago 84</t>
  </si>
  <si>
    <t>4 bolillos, 1 frijoles</t>
  </si>
  <si>
    <t>Abarrotes Marqueza: 1 frijoles isadorea: 19, 4 BOLILLOS: 12</t>
  </si>
  <si>
    <t>Una lata de elote,Una mayonesa mediana,Medio de crema,Dos delaware de 600,Dos cocas sin azúcar 600,Una bolsa de jabón ACCE, Un spagueti de la tortillería,Unas tostadas pero chicas, 1 BOLSA DE HIELO</t>
  </si>
  <si>
    <t>Abarrotes Marqueza: 1 Bolsa de hielo: 32, 2 sprite sin azucar: 30, 2 delawer: 38, 1 mayonesa mediana: 32, 1 Medio de crema: 43</t>
  </si>
  <si>
    <t>2 cocas de 1.75,2 gansitos,1k de tortillas</t>
  </si>
  <si>
    <t>Abarrotes Marqueza: 2 cocas de 1.75: 72, 25 gansitos: 32, 1 kilo de tortillas: 20</t>
  </si>
  <si>
    <t>Jessica Tostado</t>
  </si>
  <si>
    <t>55 4353 4413</t>
  </si>
  <si>
    <t>edi 1B dep 101</t>
  </si>
  <si>
    <t>1k de tortillas, 1 jarrito rojo</t>
  </si>
  <si>
    <t>Abarrotes serranita</t>
  </si>
  <si>
    <t xml:space="preserve">Abarrotes irma </t>
  </si>
  <si>
    <t>Abarrotes irma, Abarrotes serranita</t>
  </si>
  <si>
    <t>Abarrotes irma: 1 1/2 de tortillas: 12;Abarrotes serranita: 1 jarrito rojo: 22</t>
  </si>
  <si>
    <t>Mine 18B</t>
  </si>
  <si>
    <t>55 1587 7000</t>
  </si>
  <si>
    <t>Dep 18b 301</t>
  </si>
  <si>
    <t>2 garrafones de 20l y 1 dse 10l rellenados en la cisterna</t>
  </si>
  <si>
    <t>Pedidito</t>
  </si>
  <si>
    <t>Pedidito: 2 garrafon de 20rellenado cisterna: 50, 1 garrafon de 10 rellenado cisterna: 10</t>
  </si>
  <si>
    <t>kMPE</t>
  </si>
  <si>
    <t>55 2718 9840</t>
  </si>
  <si>
    <t>Dep 29B  edi101</t>
  </si>
  <si>
    <t>2 CAJAS DE CIGARROS</t>
  </si>
  <si>
    <t>OXXO: 2 CIGARROS DOBLE CAP Naranjas: 170</t>
  </si>
  <si>
    <t>Alberto 18B</t>
  </si>
  <si>
    <t>55 4360 9088</t>
  </si>
  <si>
    <t>Edi 18B dept 201</t>
  </si>
  <si>
    <t>3 garrafones rellenadosa en cisterna de 20l</t>
  </si>
  <si>
    <t>Pedidito: 3 20l garrafon: 75</t>
  </si>
  <si>
    <t>Esi</t>
  </si>
  <si>
    <t>1 417 124 5602</t>
  </si>
  <si>
    <t>Edi 22B dept 403</t>
  </si>
  <si>
    <t xml:space="preserve">1/2 de queso Oaxaca ,  1KG de masa, 1 k de tortilla, 1 red cola de 3 litros </t>
  </si>
  <si>
    <t>Abarrotes Marqueza: 1 red 3lk: 32, 1 kilo de trotillas: 20, 1 kilo de de masa: 18</t>
  </si>
  <si>
    <t xml:space="preserve">Alejandra Rangel Carbajal </t>
  </si>
  <si>
    <t>55 2213 9656</t>
  </si>
  <si>
    <t>Aquiles 844 C 401</t>
  </si>
  <si>
    <t>1 Garrafon bonafotn 20l, coca de 3l, 1 taki, 1 runners</t>
  </si>
  <si>
    <t>OXXO: 1 bonafont 20l: 66;Abarrotes Marqueza: 1 coca de 3l: 43, 1 takis: 16, 1 runners: 17</t>
  </si>
  <si>
    <t>1 crema 1/4 lala</t>
  </si>
  <si>
    <t>Abarrotes Marqueza: 1 CREMA 1/4: 22</t>
  </si>
  <si>
    <t>1 GARRAFON DE 20 BONAFONT</t>
  </si>
  <si>
    <t>Abarrotes Marqueza: 1 bonafont 20 l: 61</t>
  </si>
  <si>
    <t>1k de jitomate,1/2 de tomate, 1 1/2 de cebolla,aguacate,1/2 lechuga,1/2 de crema alpura,, 21 coca 1.75</t>
  </si>
  <si>
    <t>Recauderia Judith: 1 1 k de jitomate: 38, 1 1/2 de tomate: 25, 1 1/2 de cebolla: 24, 1 1/2 lechuga: 15, 1 1/2 de crema alpura: 44, 1 1/4 de queso blanco: 38, 1 1k molida: 160, 1 1k tortillas: 20</t>
  </si>
  <si>
    <t>1 pañales etapa 7,1 crema 1/2,1 philadelphia</t>
  </si>
  <si>
    <t>zorro: 1 pañales etapa 7: 249, 1 crema de 1/2: 40;Abarrotes Marqueza: 1 philadelphia: 45</t>
  </si>
  <si>
    <t>4 latones viqui, 2 bolsas de gomoitas, 1 mineral de 2l</t>
  </si>
  <si>
    <t>Abarrotes Marqueza, modelorama</t>
  </si>
  <si>
    <t>Abarrotes Marqueza: 1 Mineral 2l: 28, 1 bolsa de gomas dientes: 32;modelorama: 4 Laton Viqui: 164</t>
  </si>
  <si>
    <t>2 Kg de huevo ,1 Kg de limón, Jugo del valle 2l, 1/4 de queso manchego en rebanadas ,1/4 de jamon</t>
  </si>
  <si>
    <t>Abarrotes Marqueza: 2 huevo 2 Kg: 118, 1 1 Kg de limón: 34, 1 jugo del valle 2l: 28, 1 1/4 manchego: 35, 1 1/4 de jamon: 34</t>
  </si>
  <si>
    <t>55 1173 3339</t>
  </si>
  <si>
    <t>edi 17B dept 101</t>
  </si>
  <si>
    <t>2 cosacos, 1 huasteco</t>
  </si>
  <si>
    <t>Abarrotes Marqueza: 2 cosacos: 72, 1 huasteco: 18</t>
  </si>
  <si>
    <t>Abarrotes Marqueza: 1 alpura deslactosada: 29, 1 kilo de huevo: 55, 32 latas de lecheras: 40, 1 caja de maicena: 30</t>
  </si>
  <si>
    <t>1 k de huevo, 2 lecheres, 1 maicena, 1 litro de alpura deslactoosada</t>
  </si>
  <si>
    <t>Mar 179</t>
  </si>
  <si>
    <t>55 1652 9854</t>
  </si>
  <si>
    <t>Hacienda Rosario 179</t>
  </si>
  <si>
    <t>5 tacos de birria, 1 consome, 1 coca de 1.25</t>
  </si>
  <si>
    <t>Barbacoca esqui cch</t>
  </si>
  <si>
    <t>Barbacoca esqui cch: 5 taco barbacoa: 130, 1 consome  barbacoa: 26, 1 coca 1.25: 32</t>
  </si>
  <si>
    <t>Ericka De Roa Industria Armas N11</t>
  </si>
  <si>
    <t>55 7052 4053</t>
  </si>
  <si>
    <t>n11 armas Tlalnepantla, Estado de México</t>
  </si>
  <si>
    <t>29 latas de viki</t>
  </si>
  <si>
    <t>modelorama</t>
  </si>
  <si>
    <t>modelorama: 29 lata viki: 661</t>
  </si>
  <si>
    <t xml:space="preserve">1 fibra, 1 pan bimbo, 1 pegamento blanco </t>
  </si>
  <si>
    <t>Abarrotes Marqueza: 1 1 pambimbo g: 50, 1 Fibra de metal: 12, 1 pega blanco: 40, 2 papael de baño: 32</t>
  </si>
  <si>
    <t xml:space="preserve">1 en salada con soda, 1 chiken beak </t>
  </si>
  <si>
    <t>Costco: 1 ensalada: 99, 1 chiken beak: 90, 1 pepsi 600ml: 16</t>
  </si>
  <si>
    <t xml:space="preserve">1 pizza de queso </t>
  </si>
  <si>
    <t>Costco: 1 pizza queso: 222</t>
  </si>
  <si>
    <t>moises</t>
  </si>
  <si>
    <t>Nacia</t>
  </si>
  <si>
    <t>55 3050 8709</t>
  </si>
  <si>
    <t>edi  14 dep A 201</t>
  </si>
  <si>
    <t>2 chiken beak</t>
  </si>
  <si>
    <t>Costco: 2 chiken beak: 180</t>
  </si>
  <si>
    <t>Norma irene Molina</t>
  </si>
  <si>
    <t>56 1602 1114</t>
  </si>
  <si>
    <t xml:space="preserve">mcdonals armas </t>
  </si>
  <si>
    <t>modelorama: 4 caguamas: 162</t>
  </si>
  <si>
    <t>3 garrafones de 20 y 1 de 10l</t>
  </si>
  <si>
    <t>Pedidito: 3 20l rellenado: 75, 15 10l rellenado: 15</t>
  </si>
  <si>
    <t xml:space="preserve">1 coca de 1.75,2 gansitos, 1 marucha </t>
  </si>
  <si>
    <t>Abarrotes Marqueza: 2 GANSITOS: 34, 1 COCA DE 1.75: 39, 1 MARUCHA DE CAMARON: 20</t>
  </si>
  <si>
    <t xml:space="preserve">3 Latas de corona y 3 latas victoria </t>
  </si>
  <si>
    <t xml:space="preserve">Modelorama </t>
  </si>
  <si>
    <t>modelorama:3 modelo y 3 victoria latas : 180</t>
  </si>
  <si>
    <t>Domingo</t>
  </si>
  <si>
    <t>Lunes</t>
  </si>
  <si>
    <t>Martes</t>
  </si>
  <si>
    <t>Miércoles</t>
  </si>
  <si>
    <t>Jueves</t>
  </si>
  <si>
    <t>Viernes</t>
  </si>
  <si>
    <t>Sábado</t>
  </si>
  <si>
    <t>Mes</t>
  </si>
  <si>
    <t>Año</t>
  </si>
  <si>
    <t>Enero</t>
  </si>
  <si>
    <t>Febrero</t>
  </si>
  <si>
    <t>Marzo</t>
  </si>
  <si>
    <t>Abril</t>
  </si>
  <si>
    <t>Mayo</t>
  </si>
  <si>
    <t>Junio</t>
  </si>
  <si>
    <t>Julio</t>
  </si>
  <si>
    <t>Agosto</t>
  </si>
  <si>
    <t>Septiembre</t>
  </si>
  <si>
    <t>Octubre</t>
  </si>
  <si>
    <t>Noviembre</t>
  </si>
  <si>
    <t>Diciembre</t>
  </si>
  <si>
    <t>2l de leche deslactosada</t>
  </si>
  <si>
    <t xml:space="preserve">3 maruchas </t>
  </si>
  <si>
    <t xml:space="preserve">1 coca de 1.75,1k de tortillas, 21/2 de panela, 1/2 de crem </t>
  </si>
  <si>
    <t>Abarrotes Marqueza: 2 Leche deslactosada: 56</t>
  </si>
  <si>
    <t>Abarrotes serranita: 3 maruchas de camaron: 60</t>
  </si>
  <si>
    <t>Abarrotes Marqueza: 1 Crema  1/2: 44, 1 panela   1/2: 50, 1 coca 1.75: 38, 1 kilo tortillas: 20</t>
  </si>
  <si>
    <t>Abarrotes Marqueza: 1 600_cosaco: 35, 1 600ml_cosaco: 35</t>
  </si>
  <si>
    <t xml:space="preserve">Servicios </t>
  </si>
  <si>
    <t xml:space="preserve">Acomodar y limpiar la tinda en su inicio </t>
  </si>
  <si>
    <t xml:space="preserve">local </t>
  </si>
  <si>
    <t xml:space="preserve">marqueza </t>
  </si>
  <si>
    <t xml:space="preserve">Servicio a domicilio </t>
  </si>
  <si>
    <t>Servicio a domicilio (envio y entraga de productos en venta)</t>
  </si>
  <si>
    <t xml:space="preserve">Prestacion </t>
  </si>
  <si>
    <t xml:space="preserve">Cliente </t>
  </si>
  <si>
    <t>Localatarios</t>
  </si>
  <si>
    <t>Servicio a domicilio entrega de pedidos</t>
  </si>
  <si>
    <t xml:space="preserve">Absorcion de informacion de locales </t>
  </si>
  <si>
    <t xml:space="preserve">Marketing digital </t>
  </si>
  <si>
    <t xml:space="preserve">Facilitacion de servicio </t>
  </si>
  <si>
    <t xml:space="preserve">Organicaciòn de de informacion (Almacen de productos, entradas y salidas de productos, clientes,estadisticas </t>
  </si>
  <si>
    <t xml:space="preserve">Estadisticas sobre su negocio y productos </t>
  </si>
  <si>
    <t xml:space="preserve">Precios ma bajos solo en pedidito que no estan en otro lado  </t>
  </si>
  <si>
    <t>Moy y chico p</t>
  </si>
  <si>
    <t>Edgar munguia</t>
  </si>
  <si>
    <t>56 1871 8638</t>
  </si>
  <si>
    <t>papeleria jose</t>
  </si>
  <si>
    <t>1 tamal verdeº</t>
  </si>
  <si>
    <t>Mario tamales</t>
  </si>
  <si>
    <t>Mario tamales: 1 tamal verde: 25</t>
  </si>
  <si>
    <t xml:space="preserve">Papa kikin </t>
  </si>
  <si>
    <t>56 1346 9052</t>
  </si>
  <si>
    <t>36b 302</t>
  </si>
  <si>
    <t xml:space="preserve">3 hamburgesas </t>
  </si>
  <si>
    <t>Hamburguesas: 3 queso piña: 190</t>
  </si>
  <si>
    <t>1 coca 1.75, 1kilo de tortillas</t>
  </si>
  <si>
    <t>Abarrotes Marqueza: 1 coca 1.75: 36, 1 kilo ocho tortillas: 28</t>
  </si>
  <si>
    <t xml:space="preserve">1 huasteco </t>
  </si>
  <si>
    <t>Abarrotes Marqueza: 1 husteco chico: 18</t>
  </si>
  <si>
    <t>1 garrafonb de 20l, 1 coca de 3l</t>
  </si>
  <si>
    <t>Abarrotes Marqueza: 1 coca de 3l: 43, 1 garrafon de 20l: 63</t>
  </si>
  <si>
    <t>1 garrafon 20l</t>
  </si>
  <si>
    <t>Abarrotes Marqueza: 1 garrafon de 20l: 63</t>
  </si>
  <si>
    <t>1 coca 1.35</t>
  </si>
  <si>
    <t>Abarrotes Marqueza: 1 coca de 1.75: 32</t>
  </si>
  <si>
    <t>🔸Medio de salchicha,🔸 Medio de tocino,🔸50 pesos de queso manchego,🔸Una coca de 3 litros,🔸3 paquetes de panes medias noches,🔸Una coca de lata,🔸Un kilo de jitomate,🔸Una lata de chiles en vinagre🔸Una lata de chiles en vinagre</t>
  </si>
  <si>
    <t>Abarrotes Marqueza: 1 1/2 medio de salchicha: 44, 1 1/2 medio de tocino: 89, 1 1/4 medio de manchego: 55, 14 🔸Una coca de 3 litros: 44, 3 noche buanoche: 135, 1 coca de lata: 20, 1 kilo de jitomate: 30, 1 lata de chiles: 18</t>
  </si>
  <si>
    <t>1 power azul,1 garrafon de 20l,1 papas chips</t>
  </si>
  <si>
    <t>Abarrotes Marqueza: 1 chips grandes: 55, 1 power azul: 30, 1 bonafont 20l: 63</t>
  </si>
  <si>
    <t xml:space="preserve">5 barritas de piña,2 donas espolvoreadas,2 fritos sal y limón,2 doritos incógnita 1Pituetas </t>
  </si>
  <si>
    <t>1 coca de 1.75l, 1k de tortillas</t>
  </si>
  <si>
    <t>Abarrotes Marqueza: 5 barritas de piña: 90, 2 donas espolvoreadas: 44, 2 fritos sal y limón: 32, 2 doritos incógnita: 36, 1 Pituetas: 22</t>
  </si>
  <si>
    <t>Abarrotes Marqueza: 1 coca 1.75l: 36, 1 kilo tortillas: 20</t>
  </si>
  <si>
    <t>Tienda Marqueza</t>
  </si>
  <si>
    <t>55 8795 1720</t>
  </si>
  <si>
    <t xml:space="preserve">Hacienda Narvarte </t>
  </si>
  <si>
    <t xml:space="preserve">Servicio Limpieza </t>
  </si>
  <si>
    <t>Pedidito: 1 Servicio limpieza: 50</t>
  </si>
  <si>
    <t xml:space="preserve">servicio de limpieza </t>
  </si>
  <si>
    <t>Abarrotes Marqueza: 1 servicio limpieza: 50</t>
  </si>
  <si>
    <t xml:space="preserve">30 latas de cerveza </t>
  </si>
  <si>
    <t>modelorama: 30 lata viki 355: 630</t>
  </si>
  <si>
    <t xml:space="preserve">2 quesabirrilas </t>
  </si>
  <si>
    <t>Barbacoca esqui cch: 2 Quesabirria: 50</t>
  </si>
  <si>
    <t>6 barras de piña, 2 donas xpolvoreadas,1 minersal de 600ml</t>
  </si>
  <si>
    <t>Abarrotes Marqueza: 6 barra de piña: 96, 2 donas expolvoreadas: 44, 1 mineral 600ml: 16</t>
  </si>
  <si>
    <t xml:space="preserve">2 botes de arroz,1 carlos v </t>
  </si>
  <si>
    <t>Tortilleria oxxo</t>
  </si>
  <si>
    <t>Tortilleria oxxo: 2 bote de arroz: 60, 1 carlos v: 15, 1 chetos naranja: 17</t>
  </si>
  <si>
    <t xml:space="preserve">1 hot dog, 1 rebanada de pizza </t>
  </si>
  <si>
    <t>Costco: 1 hot dog: 35, 1 rebanada de pizza: 45</t>
  </si>
  <si>
    <t xml:space="preserve">1 tarjeta de google play 600, 2 chetos incognita, 1 alitas de la jaula </t>
  </si>
  <si>
    <t>Abarrotes Marqueza: 2 doritos incognita: 34;OXXO: 1 tarjeta play: 600, 1 alitas con salami: 80</t>
  </si>
  <si>
    <t>2 pac tortillas de 20, 2 minerales 2l</t>
  </si>
  <si>
    <t>Abarrotes Marqueza: 2 tortillinas 20: 68, 2 mineral 1l: 42</t>
  </si>
  <si>
    <t>1 pinguinos 3, 1 emperador limon,1l de leche,1 coca 600ml</t>
  </si>
  <si>
    <t>Abarrotes Marqueza: 1 coca 600ml: 20, 1 leche lala 1l: 29, 1 pinguinos: 25, 1 emperador limon: 18</t>
  </si>
  <si>
    <t>Jafet Baruk</t>
  </si>
  <si>
    <t>55 2498 6984</t>
  </si>
  <si>
    <t>Hacienda Portales 32</t>
  </si>
  <si>
    <t>2 cocas de 1,35 ,1 fritos de chile,1 ruffles verdes 1 azules, 1 pingunos marinela</t>
  </si>
  <si>
    <t>Abarrotes irma</t>
  </si>
  <si>
    <t>Abarrotes irma: 1 coca 1.75: 34, 1 rufflews verdes: 20, 1 ruffles azul: 20, 1 fritos de chile: 17, 1 pinguinos: 22, 1 power azul: 30</t>
  </si>
  <si>
    <t>2k de papa, 1k platano,1k de jamaica,1 kilo de tortillas, 1 kilo mandarina pequeña,1 kg pepino, 4 Bistec.1 Campechano,1 Cecina enchilada,1 sope con quesillo,1 pambazo de papas con Chorizo y picadillo.</t>
  </si>
  <si>
    <t>Mercado aquiles cerdan</t>
  </si>
  <si>
    <t>Mercado aquiles cerdan: 1 kilo de papas: 30, 15 kilo de pepino: 15, 1 kilo de mandariana: 40, 1 kilo de tortillas: 20, 1 kilo de jamaica: 150, 6 tacos: 168, 1 sope de queso: 45, 1 pambazo de chorizo con queso: 45</t>
  </si>
  <si>
    <t>1/2 de tomamtes,1/4 chiles verdes,1 jabon foca, 1 coca de 1.75</t>
  </si>
  <si>
    <t>Abarrotes Marqueza, Recauderia Judith</t>
  </si>
  <si>
    <t>Abarrotes Marqueza: 1 Coca de 1.75: 36, 1 jabon foca: 30;Recauderia Judith: 1 1/2 tomate: 35, 1 1/4 tomate: 14</t>
  </si>
  <si>
    <t xml:space="preserve">12 de modelo special </t>
  </si>
  <si>
    <t>modelorama: 12 modelo especial 225 negra: 248</t>
  </si>
  <si>
    <t xml:space="preserve">2K de huevos </t>
  </si>
  <si>
    <t>Abarrotes Marqueza: 2 kilo de huevo: 112</t>
  </si>
  <si>
    <t>Dos caguamas victorias, Un spray de 3l,Un cuarto de crema,Una sopa fideo delga,Medio de jitomate,Dos cajitas de knosuisa,Dos bolsas de basura x f</t>
  </si>
  <si>
    <t>Abarrotes Marqueza: 2 caguamas victorias: 94, 1 sprite 3l: 40, 1 1/4 de crema alpura: 22, 1 sopa fideo: 14, 1 1/2 jitomate: 40, 2 cajitas de knosuisa: 10, 2 bolsa negra: 30</t>
  </si>
  <si>
    <t>Maria Eli Chavez Lobato</t>
  </si>
  <si>
    <t>992 690 0632</t>
  </si>
  <si>
    <t>hacienda Olivar Conde 25</t>
  </si>
  <si>
    <t>4 PASTILLAS buscapina , Bactoprim- trimetoprima Sulfametoxazol- 160 Mg. Y 800 m</t>
  </si>
  <si>
    <t>Farmacia Rancho Anzaldo</t>
  </si>
  <si>
    <t>Farmacia Rancho Anzaldo: 4 tabletas buscapina: 25, 1 Bactoprim- trimetoprima Sulfametoxazol- 160 Mg. Y 800 mg: 70</t>
  </si>
  <si>
    <t xml:space="preserve">1 pechuga en 8 bisteces y 5 pesos de chile </t>
  </si>
  <si>
    <t>Polleria Bachoco: 1 Pechuga de pollo: 170, 1 5  pesos de chile: 5</t>
  </si>
  <si>
    <t xml:space="preserve">7 panes </t>
  </si>
  <si>
    <t>Panaderia pan chino: 3 pina roll: 54, 4 cubielete: 52</t>
  </si>
  <si>
    <t>1 Mineral, 1 hielos</t>
  </si>
  <si>
    <t>Abarrotes Marqueza: 1 mineral 2L: 28, 1 hielos: 40</t>
  </si>
  <si>
    <t>Servicio Pago de Servicio</t>
  </si>
  <si>
    <t>OXXO: 1 Servicio: 0</t>
  </si>
  <si>
    <t>1 bolsa de hielo, 1 mineral 2l</t>
  </si>
  <si>
    <t>Abarrotes Marqueza: 1 Bolsa de hielo: 40, 1 mineral de 2l: 28</t>
  </si>
  <si>
    <t>1 kilo de huevo  y 1/4 de jamón de pavo</t>
  </si>
  <si>
    <t>Abarrotes Marqueza: 1 kilo huevo: 59, 1/4 jamon de pavo: 40</t>
  </si>
  <si>
    <t>55 3200 3315</t>
  </si>
  <si>
    <t>1/4 jamón rebanadas delgadas ,1/4 queso manchego ,2 lts de Alpura deslactosada,1 sidral Mundet 2lt,1 pan Bimbo blanco chico,1 yoghurt mix Danone con chococrispies</t>
  </si>
  <si>
    <t>Abarrotes reyes: 1 1/4 jamon: 40, 1 1/4 manchego: 45, 2 alpuera deslactosada: 50, 1 sidral 3l: 36, 1 pan bimbo chico: 39, 1 yoghurt mix Danone: 18</t>
  </si>
  <si>
    <t xml:space="preserve">Elma Galván </t>
  </si>
  <si>
    <t>55 3654 2200</t>
  </si>
  <si>
    <t>Santiago 23</t>
  </si>
  <si>
    <t>1 pinguinois de 3, 1.5 de leche lala</t>
  </si>
  <si>
    <t>Abarrotes reyes: 1 pinguinos 3: 24, 1 garrafa de lala 1.5: 38</t>
  </si>
  <si>
    <t>1 malboro rojos, caguama viki,1k de tortillas</t>
  </si>
  <si>
    <t>Tortilleria oxxo, modelorama, Abarrotes Marqueza</t>
  </si>
  <si>
    <t>Tortilleria oxxo: 1 kilo de tortillas: 20;modelorama: 1 caguama: 47;Abarrotes Marqueza: 1 malboro rojos: 80</t>
  </si>
  <si>
    <t>Promedio Pedidos por dia</t>
  </si>
  <si>
    <t>Hamburgesas tow center</t>
  </si>
  <si>
    <t>iihb</t>
  </si>
  <si>
    <t># Pedidos</t>
  </si>
  <si>
    <t>Consumo</t>
  </si>
  <si>
    <t>7A</t>
  </si>
  <si>
    <t>3 cocas retornables,1 cigarros de clavo</t>
  </si>
  <si>
    <t>3 cocas de 1.25</t>
  </si>
  <si>
    <t>15 De tortillas,1 jarrito rojoi</t>
  </si>
  <si>
    <t>1 pechuga en 8,1k de tporttillas, 2 pepinos, 2 aguacates</t>
  </si>
  <si>
    <t>1 pechuga en 2 1 coca de 2lk sin az</t>
  </si>
  <si>
    <t xml:space="preserve">6 jitomates ,3 coca de 3 litros,1 kilo de tortillas,una pechuga partida en dos </t>
  </si>
  <si>
    <t xml:space="preserve">Karlie </t>
  </si>
  <si>
    <t xml:space="preserve"> Haciendo San Isidro 23</t>
  </si>
  <si>
    <t xml:space="preserve">unos churrumais normales, unos Ruffles verdes,4 cigarros sueltos palmall Alaska y un Boing de mango de medio </t>
  </si>
  <si>
    <t>2k de huevo, 1 paquete de salchichas,1 paquqte de gasas</t>
  </si>
  <si>
    <t xml:space="preserve">2 ordenes de tacos, 1 enchiladas, 1 sprite, 2 cocas, 1 paleta de fersa </t>
  </si>
  <si>
    <t>1 coca 1.75, 1 tpo chico 500ml</t>
  </si>
  <si>
    <t>Abarrotes Marqueza: 3 cocas de 3l retornables: 114;OXXO: 1 cigarros de clavo: 85</t>
  </si>
  <si>
    <t>Abarrotes Marqueza: 3 coca de 1.25: 96</t>
  </si>
  <si>
    <t>Tortilleria oxxo, Abarrotes Marqueza</t>
  </si>
  <si>
    <t>Tortilleria oxxo: 1 1/2: 20;Abarrotes Marqueza: 1 jarrito rojo: 22</t>
  </si>
  <si>
    <t>Polleria Bachoco, Recauderia Judith</t>
  </si>
  <si>
    <t>Polleria Bachoco: 1 pechuga en bistec de 8: 110;Recauderia Judith: 2 pepinos: 25, 2 aguacates: 40</t>
  </si>
  <si>
    <t>Abarrotes Marqueza, Polleria Bachoco</t>
  </si>
  <si>
    <t>Abarrotes Marqueza: 1 coca de 2l: 30;Polleria Bachoco: 1 pechuga en 2: 112</t>
  </si>
  <si>
    <t>Abarrotes Marqueza: 1 1/2 jitomates: 30, 3 coca de 2.5: 96, 1 kilo de tortillas: 20, 1 pechuga de pollo: 120</t>
  </si>
  <si>
    <t>Abarrotes Marqueza: 1 churrumais: 14, 1 rufflers verdes: 20, 4 cigarros alaska: 21, 1 boing 1/2 mango: 18</t>
  </si>
  <si>
    <t>Abarrotes Marqueza, Farmacia Colibri</t>
  </si>
  <si>
    <t>Abarrotes Marqueza: 2 kilo de huevo: 112, 1 paquete de salchichas pavo: 28;Farmacia Colibri: 1 paquete de gasas: 25</t>
  </si>
  <si>
    <t>casa toño, Abarrotes Marqueza, modelorama</t>
  </si>
  <si>
    <t>casa toño: 1 orden de enchiladas: 94, 2 orden de tacos de cochinita: 174;Abarrotes Marqueza: 1 sprite 600: 18, 2 cocas: 600, 1 paleta de fresa: 20;modelorama: 2 caguamas de corona: 87</t>
  </si>
  <si>
    <t>Abarrotes Marqueza: 1 coca 1.75 L: 30, 1 topo chico 500ml: 26</t>
  </si>
  <si>
    <t>2 tamales, y 2 garrafones bonafont</t>
  </si>
  <si>
    <t>Abarrotes Marqueza, Mario tamales</t>
  </si>
  <si>
    <t>Abarrotes Marqueza: 2 Garrafon bonafon 20l: 126;Mario tamales: 2 tamales verdes: 40</t>
  </si>
  <si>
    <t>Una bolsa de hielo,Un jabón axxe,Un fabuloso morado,Un clarasol,Un suavitel,2bolsas,Un delaware de 600,</t>
  </si>
  <si>
    <t>Abarrotes Marqueza: 1 bolsa de hielo: 37, 1 suavitel: 30, 1 fabuloso: 30, 1 clarasol: 29, 1 delawer: 18, 1 coca sin azucar: 18, 2 bolsas de basura: 20</t>
  </si>
  <si>
    <t>1k de tortillas,3 agucates,m 1 coca de 1.75</t>
  </si>
  <si>
    <t>Abarrotes Marqueza, Abarrotes irma, Tortilleria oxxo</t>
  </si>
  <si>
    <t>Abarrotes Marqueza: 1 coca de 1.75: 36;Abarrotes irma: 3 agucates: 60;Tortilleria oxxo: 1 kilo de tortillas: 20</t>
  </si>
  <si>
    <t>1 tortta de milanesa, 1 coca 600</t>
  </si>
  <si>
    <t>tortas: 1 milanesa con pierna: 55;Abarrotes Marqueza: 1 coca de 600: 20</t>
  </si>
  <si>
    <t>30 de jamon 30 de manchego,1 pinturo rosa, 2 panes dulces</t>
  </si>
  <si>
    <t>Abarrotes Marqueza, Panaderia pan chino, Papeleria jose</t>
  </si>
  <si>
    <t>Abarrotes Marqueza: 1 1/4 manchego: 40, 1 1/4 jamon: 35;Panaderia pan chino: 2 panes: 24;Papeleria jose: 1 pintura rosa: 40</t>
  </si>
  <si>
    <t xml:space="preserve">2 banderillas de queso, 1 alitas, 1 papas con salami </t>
  </si>
  <si>
    <t>La jaula banderillas</t>
  </si>
  <si>
    <t>La jaula banderillas: 2 Banderillas de queso: 150, 1 papas con salami: 60, 1 alitas: 75</t>
  </si>
  <si>
    <t>4 barritas de piña, 2 donas expolvoredas,1 Boing de guayaba de 1 litro, 2 sabritas</t>
  </si>
  <si>
    <t>Abarrotes Marqueza: 4 barras de piña: 72, 2 donas expolvoreadas: 44, 1 jugo de guayaba 1l: 28, 2 sabritas amarillas: 40</t>
  </si>
  <si>
    <t xml:space="preserve">moy y peligro </t>
  </si>
  <si>
    <t>2 garrafones de agua de 20l rellenafos</t>
  </si>
  <si>
    <t xml:space="preserve">Purificadora </t>
  </si>
  <si>
    <t>Purificadora</t>
  </si>
  <si>
    <t>Purificadora: 2 garrafones: 34</t>
  </si>
  <si>
    <t>15 de tortillas, - 1 Pepsi de 3L,- 1 polvorones de naranja Marinela,- 1 emperador de nuez</t>
  </si>
  <si>
    <t>Tortilleria oxxo: 1 1/8 de tortillas: 15;Abarrotes Marqueza: 1 pepsi de 3l: 38, 1 polvorones de naranja Marinela: 20, 1 emperador de nuez: 20</t>
  </si>
  <si>
    <t>Sayra Diaz</t>
  </si>
  <si>
    <t>56 2615 0591</t>
  </si>
  <si>
    <t>24B 303</t>
  </si>
  <si>
    <t>1 queso panela,1 bolsa de verduras,2 chiken baeck</t>
  </si>
  <si>
    <t>Costco: 1 queso panela: 170, 1 bolsa de verdura: 200, 2 cjiken beack: 220</t>
  </si>
  <si>
    <t>Abarrotes Marqueza: 1 garrafon de 10l: 45</t>
  </si>
  <si>
    <t>- 1kg de tortillas ,- 1 jarrito rojo de 2l,,- 1 fritos de chorizo,m- 1 fritos de sal,- 1 Coca-Cola de 600ml,- 1 Mundet roja de 600ml,- 1 topochico de 600ml,- 1 Sabritas adobadas</t>
  </si>
  <si>
    <t>Abarrotes Marqueza, Tortilleria oxxo</t>
  </si>
  <si>
    <t>Abarrotes Marqueza: 1 jarrito rojo de 2l: 22, 1 fritos de chorizo: 22, 1 fritos de sal: 18, 1 Coca-Cola de 600ml: 20, 1 Mundet roja de 600ml: 20, 1 topochico de 600ml: 18, 1 Sabritas adobadas: 20;Tortilleria oxxo: 1 kilo de tortillas: 20</t>
  </si>
  <si>
    <t>1 tarjeta de 100 del oxxo, 1 alitas y 1 orden de salami/papas de la jaula,1 agua mineral de 2l,1 sidral de 3l,1 palomitas de mantequilla,2 takis verdes</t>
  </si>
  <si>
    <t>Abarrotes Marqueza, La jaula banderillas, OXXO</t>
  </si>
  <si>
    <t>Abarrotes Marqueza: 2 takis verdes: 34, 1 mineral de 2l: 32, 1 sidral de 3l: 40;La jaula banderillas: 1 alitas: 75, 1 orden de salami/papas: 75;OXXO: 1 tarjeta de saldo: 100</t>
  </si>
  <si>
    <t>Una pechuga en bistec de pollo q sean 5 o 6,Una mayonesa mediana,Medio de crema,,1 cebollas,Una lata de chipotle ,1 bolsa de chilaquiles,50 de queso panela,Un litro de aceite,Una manzanita de a litro,5 bolilolos</t>
  </si>
  <si>
    <t>Soriana</t>
  </si>
  <si>
    <t>Soriana, Abarrotes Marqueza</t>
  </si>
  <si>
    <t>Soriana: 2 pechuga de pollo: 160, 1 mayonesa mediana: 60, 1 kilo de jitomate: 26, 1 cebolla: 5, 1 lata de chipotle: 20, 1 bolsa de chilaquiles: 45, 1 1/2 de panela: 50, 1 litro de aceite: 30, 5 bolilos: 14;Abarrotes Marqueza: 1 manzana de 2l: 29</t>
  </si>
  <si>
    <t>1 platos, 1 vasos, 1k de croquetas</t>
  </si>
  <si>
    <t>2 donas expolvoreadas,1l de leche,</t>
  </si>
  <si>
    <t>2 cocas de 1.25,1 ruffles verdes, 1 hot nuts</t>
  </si>
  <si>
    <t>1/4 de arándanos,  3 manzanas una papaya mediana 1 bolsa de hielos</t>
  </si>
  <si>
    <t>Abarrotes Marqueza: 1 kilode croqueta para gato: 45, 1 charola de plato: 38, 1 vasos del n8: 25</t>
  </si>
  <si>
    <t>Abarrotes Marqueza: 1 litro de leche: 27, 2 donas expolvoreadas: 44</t>
  </si>
  <si>
    <t>Abarrotes Marqueza: 1 ruffles verdes: 20, 2 cocas de 1.25: 64, 1 hot nuts: 18</t>
  </si>
  <si>
    <t>Recauderia Judith: 1 1/4 de arandanos: 35, 3 manzana amarilla: 25, 1 papaya: 40;Abarrotes Marqueza: 1 bolsa de hielo: 37</t>
  </si>
  <si>
    <t>1 Garrafon bonafont</t>
  </si>
  <si>
    <t>Abarrotes Marqueza: 1 Garrafon: 63</t>
  </si>
  <si>
    <t xml:space="preserve">1 Kosako </t>
  </si>
  <si>
    <t>Abarrotes Marqueza: 1 kosako: 36</t>
  </si>
  <si>
    <t>4 Barritas de piña. 1 donitas espolvoreadas</t>
  </si>
  <si>
    <t>Abarrotes Marqueza: 4 barritas piña: 76, 1 donitas espolvoreadas: 22</t>
  </si>
  <si>
    <t>Tayana</t>
  </si>
  <si>
    <t>Portales 32</t>
  </si>
  <si>
    <t>1 Coca, 1/2 ate. 1/2 kg oaxaca</t>
  </si>
  <si>
    <t>Camion de Quesos</t>
  </si>
  <si>
    <t>Camion de Quesos, Abarrotes Marqueza</t>
  </si>
  <si>
    <t>Camion de Quesos: 1/2 ate: 80, 1/2 queso oaxaca: 90;Abarrotes Marqueza: 1 Coca 1.3: 29</t>
  </si>
  <si>
    <t>Laura 21A</t>
  </si>
  <si>
    <t>Edi 21 Dep 502</t>
  </si>
  <si>
    <t>1 cartulina lila. 1 cartulina negra</t>
  </si>
  <si>
    <t>Papeleria jose: 1 Cartulina lila: 14, 1 Cartulina negra: 14</t>
  </si>
  <si>
    <t xml:space="preserve">1 manzana, 1 chetos naranjas, 1 vitaloe, 1 paquete de salchichas de pavo, 1m de liston rosa, 2 cocas sin azucar de 255ml, 1 carretes hilo rosa </t>
  </si>
  <si>
    <t>Abarrotes irma, OXXO</t>
  </si>
  <si>
    <t>Abarrotes irma: 1 Manzana: 9, 1 chetos: 18, 1 paquete salchichas: 27;OXXO: 2 cocas 255ml: 28, 1 vitaloe: 22, 1.5 m de cinta rosa claro: 12, 1 carrete de hilo: 4</t>
  </si>
  <si>
    <t>2 impresiones, 1 huevo kinder niña</t>
  </si>
  <si>
    <t>Papeleria jose, OXXO</t>
  </si>
  <si>
    <t>Papeleria jose: 2 impresiones: 7;OXXO: 1 huevo Kinder Niña: 36</t>
  </si>
  <si>
    <t>34 sobres de perro, 3 botes defuze tea 1.80L, 1 costal arena para gato, 2 maruchas de res, 1/4 jamon pàvo, 2 empaques yakult, 1 chamoy, 1 salsa botanera, 1 caja de chocolates turin bayleys,1 dip jalapeño, 1 lata de jalapeños, 1 tostitos verdes</t>
  </si>
  <si>
    <t>Walmart</t>
  </si>
  <si>
    <t>Walmart: 34 Sobres de perro: 640, 3 Botes de fuze tea: 120, 1 costal de arena: 100, 2 maruchans res: 20, 1/4 jamon de pavo: 80, 2 empaques de yakult: 120, 1 chamoy: 21, 1 salsa botanera: 25, 1 Caja de Chocolates turin Bayleys: 105, 1 dip jalapeño: 50, 1 lata de jalapeños: 28, 1 tostitos verdes: 56</t>
  </si>
  <si>
    <t>1 Queso Panela Covadonga</t>
  </si>
  <si>
    <t>Costco, Abarrotes reyes, Abarrotes irma</t>
  </si>
  <si>
    <t>Costco: 1 Queso Panela Covadonga: 183;Abarrotes reyes: 0.5 kg de uvas: 75, 1 Lechera Pequeña: 18, 1/4 Kg de jamon pavo: 40;Abarrotes irma: 2 Manzana: 23</t>
  </si>
  <si>
    <t>1 Pizza Peperoni</t>
  </si>
  <si>
    <t>Costco: 1 Pizza Peperoni: 240</t>
  </si>
  <si>
    <t>Arely Gallardo</t>
  </si>
  <si>
    <t>55 7385 4401</t>
  </si>
  <si>
    <t>2b 202</t>
  </si>
  <si>
    <t>6 latas victoria,5 cigarros</t>
  </si>
  <si>
    <t>modelorama, Abarrotes reyes</t>
  </si>
  <si>
    <t>modelorama: 6 laton victoria: 123;Abarrotes reyes: 5 cigarros mentolados: 40</t>
  </si>
  <si>
    <t xml:space="preserve">Jair </t>
  </si>
  <si>
    <t>55 4591 7658</t>
  </si>
  <si>
    <t>Condesa 37</t>
  </si>
  <si>
    <t>1 sprit de 2lk</t>
  </si>
  <si>
    <t>Abarrotes Marqueza: 1 sprite 2l: 29</t>
  </si>
  <si>
    <t>1/4 de jamon 1/2 de huevo/1/2 de manchego</t>
  </si>
  <si>
    <t>Abarrotes reyes: 1/4 jamon: 27, 1/2 huevo: 40, 1/2 manchego: 100</t>
  </si>
  <si>
    <t>2 Danet,2 dany,1l de leche</t>
  </si>
  <si>
    <t>Abarrotes Marqueza: 2 danet: 24, 2 gary: 20, 1 litro de leche: 29</t>
  </si>
  <si>
    <t xml:space="preserve">Lavado de colibri </t>
  </si>
  <si>
    <t xml:space="preserve">1 hilo de cocina </t>
  </si>
  <si>
    <t>Papeleria jose: 1 hilo de cocina: 20</t>
  </si>
  <si>
    <t>6l de leche, 2k de huevo, 1 peñafile de 22</t>
  </si>
  <si>
    <t>Abarrotes Marqueza: 6 leche lala: 168, 2 kilos de huevos: 120, 1 peñafiel de 2l: 29</t>
  </si>
  <si>
    <t>Liliana olivar 48</t>
  </si>
  <si>
    <t>55 1333 7032</t>
  </si>
  <si>
    <t>Olivar Conde 48</t>
  </si>
  <si>
    <t>1 bolsa de jamaica, 1 pepino, termómetro</t>
  </si>
  <si>
    <t>Farmacia Rancho Anzaldo, Abarrotes irma</t>
  </si>
  <si>
    <t>Farmacia Rancho Anzaldo: 1 termómetro: 55;Abarrotes irma: 1 100g jamaica: 22, 1 pepino: 20</t>
  </si>
  <si>
    <t xml:space="preserve">1 pollo 1 papas gerandes, 1/2 delimon 2 caguamas </t>
  </si>
  <si>
    <t>Pollos comercial Mx</t>
  </si>
  <si>
    <t>Polleria Bachoco, Abarrotes irma</t>
  </si>
  <si>
    <t>Polleria Bachoco: 1 pollo adobado: 130, 1 Ppas grandes: 30;Abarrotes irma: 1/2 LIMON: 28</t>
  </si>
  <si>
    <t xml:space="preserve">Esposa tierno </t>
  </si>
  <si>
    <t>55 6412 1405</t>
  </si>
  <si>
    <t>edi 9B Dep 501</t>
  </si>
  <si>
    <t xml:space="preserve">1 carton corona 24,5 boings,5 papas </t>
  </si>
  <si>
    <t>Walmart, Abarrotes Marqueza</t>
  </si>
  <si>
    <t>Walmart: 1 carton de chela 24: 210;Abarrotes Marqueza: 5 Papas sabritas: 100, 5 jugos boin de 1/2º: 75</t>
  </si>
  <si>
    <t>4 cocas de 2.5L ret</t>
  </si>
  <si>
    <t>Abarrotes Marqueza: 2 cocas de 2.5L ret: 68, 2 cocas de 3L ret: 78</t>
  </si>
  <si>
    <t>un garrafón de agua pero más chico, Margarina primavera y una bolsa para la basura</t>
  </si>
  <si>
    <t>Abarrotes Marqueza: 1 garrafon skarch: 43, 1 Margarina: 35, 1 bolsa para la basura: 20</t>
  </si>
  <si>
    <t>2 muslos de pollo, 2 zanahorias, 1 chayote 2 calabazas, 1 ramito de yerbabuena, 1 ramito de cilantro, 1 cubito de norsuiza, 1 pegamento líquido resistol blanco 850 chiquito</t>
  </si>
  <si>
    <t>Recauderia Judith: 2 muslos de pollo: 30, 2 Zanahorias: 18, 1 chayote: 12, 2 calabazas: 23, 1 ramito de yerbabuena: 10, 1 ramito de cilantro: 5, 1 cubito de norsuiza: 12</t>
  </si>
  <si>
    <t>Un cuarto de longaniza Un kilo de tortillas Una paleta de hielo chemise piña coco Una coca de 3L 30 pesos de queso crema Unos frijoles isadora Una crema de medio alpura Un aguacate 4 piernas 1 juego de alas con huacal 2 muslos</t>
  </si>
  <si>
    <t>Abarrotes Marqueza: 1 cuarto de longaniza: 31, 1 kilo de tortillas: 20, 1 paleta de hielo chemise piña coco: 25, 1 coca de 3L: 44, 1 30 pesos de queso: 30, 1 frijoles isadora: 19, 1 crema de medio alpura: 22, 1 aguacate: 18, 1 4 piernas 1 juego de alas con huacal 2 muslos: 121</t>
  </si>
  <si>
    <t>4 barritas de piña 1 barra de queso doble crema chilchota 1 crema sopita de 1/4 4 pilas AA 2 cajetillas de cigarros malboro 14 rojos</t>
  </si>
  <si>
    <t>zorro: 4 barritas de piña: 60, 1 barra de queso doble: 180, 1 crema alpura 1/4: 22, 1 paquete 6 pilas AA: 105, 2 cajetillas de cigarros malboro 14 rojos: 128</t>
  </si>
  <si>
    <t xml:space="preserve">Andrea pagnan </t>
  </si>
  <si>
    <t>Edi 23B depto 301</t>
  </si>
  <si>
    <t>5 magnum, 1 paleta de limon</t>
  </si>
  <si>
    <t>8 hilos de color,1k de bistec,1k de pòllo,1k de platano,1 melon, 1 pepino 3 mangos,1k de pera, 1/2 de lechiuga de y dse espinaca,1/2 de limon, 2 gelatinas para hacer,5 garis, 1k de jamon de pavo, 1k de manchego,2,k de oaxaca,5l de leche lala,1 bolsa de avena,1 yogyrth narutal</t>
  </si>
  <si>
    <t>OXXO: 5 magnum: 190, 1 limon: 29</t>
  </si>
  <si>
    <t>zorro, Recauderia Judith, Papeleria jose, Carniceria Angel Amado, Abarrotes Marqueza, Abarrotes irma</t>
  </si>
  <si>
    <t>zorro: 1 yogrth: 80, 2k oaxaca: 240, 1k manchego: 199, 5 litro de alpura entera: 120, 5 garys: 50, 2 gelatinas: 40, 3 bolsas: 840, 1 tarjeta google: 600;Recauderia Judith: 1k platano: 38, 1 melon: 50, 1k papaya: 63, 1k pera: 70, 1/2 lechuga: 22, 1/2 espinaca: 15, 3pz mango: 35, 1 pepino: 18, 1/2 limon: 28, 1k pechuga de pollo: 190, 1 piña: 55;Papeleria jose: 8 hilos: 160;Carniceria Angel Amado: 1k bistec para asar: 250;Abarrotes Marqueza: 1 sopa codo: 20, 1/2 chia: 35;Abarrotes irma: 1 paquete pavo: 30</t>
  </si>
  <si>
    <t xml:space="preserve">15 de tortrillas,1 peñafiel de piña de 2l, 4 calabazas </t>
  </si>
  <si>
    <t>1k de tortillas,1k de huevo,1 coca de de 3l 1 crema de 1/2</t>
  </si>
  <si>
    <t>Abarrotes Marqueza, Tortilleria oxxo, Recauderia Judith</t>
  </si>
  <si>
    <t>Abarrotes Marqueza: 1 peñafiel piña: 30;Tortilleria oxxo: 1 1/2 tortillas: 15;Recauderia Judith: 4 calabazas: 25</t>
  </si>
  <si>
    <t>Abarrotes Marqueza: 1 coca de 3l: 43, 1 kilo de huevo: 60, 1 crema de 1/2: 44;Tortilleria oxxo: 1 kilo de tortillas: 20</t>
  </si>
  <si>
    <t>1/2 Chilchota, 4 Barritas de Piña, 3 donitas espolvoreadas, 2 cocas, 1 coca sin azucar, 2 sabritas, 1 rancheritos</t>
  </si>
  <si>
    <t>Abarrotes Marqueza: 1 rancheritos: 18, 2 sabritas: 40, 1 coca sin azucar: 18, 2 coca 600ml: 40, 3 donitas espolvoreadas: 66, 3 Barritas de Piña: 57, 0.5 Chilchota: 80</t>
  </si>
  <si>
    <t>1 Powerade azul, 30$ jamon, 30 manchego, 1 tostada, 1 coca 2L s Az, 1 Pan Bimbo grande</t>
  </si>
  <si>
    <t>Abarrotes Marqueza: 1 Cebolla: 10, 1 Pan Bimbo grande: 47, 1 coca 2L s Az: 37, 1 Powerade azul: 33, 0.5 jamon: 30, 0.5 manchego: 30, 1 tostadas: 40</t>
  </si>
  <si>
    <t>2 kg tortillAS, 2 COCAS 1.75 , 1/4 QUESO BLANCO</t>
  </si>
  <si>
    <t>Tortilleria oxxo: 2 tortillas: 40;Abarrotes Marqueza: 2 cococas 1.75: 72, 1 crema: 43</t>
  </si>
  <si>
    <t xml:space="preserve">9 veladoras </t>
  </si>
  <si>
    <t>Abarrotes Marqueza: 9 VELADORAS: 225</t>
  </si>
  <si>
    <t xml:space="preserve">1/4 de jamon y de manchego,2l de leche alpùra deslactosada </t>
  </si>
  <si>
    <t>Abarrotes reyes: 1/4 jamon: 45, 1/4 manchego: 50, 25 litro de leche alpura deslactosado: 60</t>
  </si>
  <si>
    <t xml:space="preserve">2K de huevo, 1 pan bimbo, 1 nutella, 1/4 de queso blanco </t>
  </si>
  <si>
    <t>Abarrotes Marqueza: 1/4 queso: 40, 1 pan bimbo: 59, 2 kilos de huevo: 120</t>
  </si>
  <si>
    <t>moy fer</t>
  </si>
  <si>
    <t>2 papas ,1 brócoli,1/4 de champiñones ,1 lata de media crema,1 Philadelphia,1 saladitas</t>
  </si>
  <si>
    <t>Abarrotes Marqueza: 1 lata de media crema: 25, 1 Philadelphia: 45, 1 saladitas: 25;Recauderia Judith: 1/4 champiñones: 30, 1 brocoli: 29, 2 papas: 20</t>
  </si>
  <si>
    <t>2 aguacate,1/2 de jamón de pierna,2 cocas de vidrio de 500,2 fuze tés durazno ,1/4 manchego</t>
  </si>
  <si>
    <t>Abarrotes reyes: 2 aguacates: 30, 1/2 jamon: 70, 2 cocas: 30, 2 fuze: 40, 1/4 Manchego: 40</t>
  </si>
  <si>
    <t>1 cosaco 2l</t>
  </si>
  <si>
    <t>Abarrotes Marqueza: 1 cosaco 2l: 110</t>
  </si>
  <si>
    <t>2 docenas de sopes,1/2 lechuga, 1 kilo de papas,1/2 de crema alpura,1/4 de queso blanco</t>
  </si>
  <si>
    <t>Recauderia Judith: 2 docenas: 60, 1/2 lechuga: 32, 1 kilo de papas: 39, 1/2 crema alpura: 44, 1/4 queso blanco: 40</t>
  </si>
  <si>
    <t xml:space="preserve">8 juegos de llave </t>
  </si>
  <si>
    <t>Cerrajeria verde</t>
  </si>
  <si>
    <t>Cerrajeria verde: 8 duplic llave: 160</t>
  </si>
  <si>
    <t>2 garrafones bonafotn</t>
  </si>
  <si>
    <t>Abarrotes Marqueza: 2 garrafones bonaf 20l: 126</t>
  </si>
  <si>
    <t>750 gramos de chícharos,2 bolsas de pan molido Bimbo amarillo, 2 cocas 1.700l</t>
  </si>
  <si>
    <t>Abarrotes Marqueza: 750g chicharos: 30, 2 pan molido amarillo: 60, 2 cocas 1.700: 72</t>
  </si>
  <si>
    <t>1k de tortillas, encargo dos gatorade de naranja y cuatro maruchan</t>
  </si>
  <si>
    <t>Abarrotes Marqueza: 2 encargo dos gatorade de naranja: 66, 4 maruchan res: 80</t>
  </si>
  <si>
    <t>Abarrotes Marqueza: 2 garrafones bonafont: 126</t>
  </si>
  <si>
    <t xml:space="preserve">1 huasteco, 1 cosaco </t>
  </si>
  <si>
    <t>Abarrotes Marqueza: 1 huasterco: 16, 1 cosaco: 35</t>
  </si>
  <si>
    <t>1 coica de 3l</t>
  </si>
  <si>
    <t>Abarrotes Marqueza: 1 coca 3l: 44</t>
  </si>
  <si>
    <t>1 garrafon 20l bona</t>
  </si>
  <si>
    <t>Abarrotes Marqueza: 1 garrafon 20l bonafont: 63</t>
  </si>
  <si>
    <t xml:space="preserve">Sofia Frausan </t>
  </si>
  <si>
    <t>55 7348 4449</t>
  </si>
  <si>
    <t>22b 303</t>
  </si>
  <si>
    <t xml:space="preserve">4 hamburgesas </t>
  </si>
  <si>
    <t>Hamburguesas: 4 con queso: 260</t>
  </si>
  <si>
    <t>peligro moy y fer</t>
  </si>
  <si>
    <t>2 cuadernos y un paquete de plumas</t>
  </si>
  <si>
    <t>Walmart: 2 cuadernos: 100, 1 caja plumas: 40</t>
  </si>
  <si>
    <t xml:space="preserve">1 pepesi 2l, 1k de tortillas </t>
  </si>
  <si>
    <t>Tortilleria oxxo: 1 kilo de tortillas: 20;Abarrotes Marqueza: 1 pepsi 2l: 33</t>
  </si>
  <si>
    <t>2 cajas de cerial, 1 bolsa de almendra,1bolsa de nuez,1 melon, 1 papaya,1penca de platano,</t>
  </si>
  <si>
    <t>zorro, Recauderia Judith</t>
  </si>
  <si>
    <t>zorro: 2 caja de cerial choko: 120, 1 bolza de nuez: 99, 1 bolza de almendra: 80;Recauderia Judith: 1 melon: 45, 1 papaya: 40, 1 platanos: 30</t>
  </si>
  <si>
    <t>30 pesos de tocino,50 manchego, 2 paquetes hambuerga, 1 jarrito rojo,2 lecheras 1 kilo huevos</t>
  </si>
  <si>
    <t>Abarrotes Marqueza: 1/4 tocino: 30, 1/2 oaxaca: 50, 2 paquetes de hamburgesas: 120, 1 jarrito rojo: 22, 2 lecheras: 60, 1 kilo de huevos q: 60</t>
  </si>
  <si>
    <t>Raul condesa 75 bis</t>
  </si>
  <si>
    <t>55 4618 0834</t>
  </si>
  <si>
    <t>Condesa 75 biss</t>
  </si>
  <si>
    <t xml:space="preserve">1 carbanon bolsa </t>
  </si>
  <si>
    <t>Walmart: 1 Bolsa de carbon: 119</t>
  </si>
  <si>
    <t xml:space="preserve">3 sopas Maruchan, 1 cebolla, 20 de jamon, 50 de manchego </t>
  </si>
  <si>
    <t>Abarrotes Marqueza: 20 jamon: 20, 1/2 manchego: 50, 3 maruchas: 60, 1 cebolla: 10</t>
  </si>
  <si>
    <t>Moy, erick,peligro</t>
  </si>
  <si>
    <t>8 barritas,1/4 de manchego,1/4 oaxaca,2 minerales 600,1 pan bimbo grandew, 2 sabritas amarillas</t>
  </si>
  <si>
    <t>Abarrotes Marqueza: 2 minerales 600: 38, 1 bimbo grande: 50, 8 barrita de piña: 144, 1/4 oaxaca: 40, 1/4 manchego: 50, 2 sabritas: 40</t>
  </si>
  <si>
    <t xml:space="preserve">1 frijoles refritos, 3 barraas iberia, 1l de aceite,1/4 de manchego, 1/4 panela 3l de alpura deslacotasada, 2 paquetes de halls, 2 cremas de 1/4, 1 tortillinas nde 12,1/2 de huevo </t>
  </si>
  <si>
    <t>Abarrotes Marqueza: 1 frijoles: 28, 3 barra iberia: 54, 1 litro de aceite: 54, 1/4 manchego: 45, 1/4 panela: 45, 3 alpura deslactosada: 87, 2 cremas deslac: 44</t>
  </si>
  <si>
    <t>Un pan tostado, Un pan Bimbo, Una coca  de 600 sin azúcar, Un delawuer 600, Medio de huevo, 3 bolsas de basuraUn fabuloso chico, jamon 20</t>
  </si>
  <si>
    <t>Abarrotes Marqueza: 1 pan tostado: 38, 1 pan bimbo: 48, 1 delawer 600: 19, 1 coca sin azucar 600: 18, 3 bolsas de basura: 30, 20 JAMOJN: 20</t>
  </si>
  <si>
    <t>1 cosaco 2l, 1 huasteco</t>
  </si>
  <si>
    <t>Abarrotes Marqueza: 1 cosaco 2l: 120, 1 huasteco: 15</t>
  </si>
  <si>
    <t>2 cocas,1 caja de cuqiker,8 bolillos 1 doña de moca,1k de huevo,</t>
  </si>
  <si>
    <t>Abarrotes Marqueza, Panaderia Francisco</t>
  </si>
  <si>
    <t>Abarrotes Marqueza: 2 cocas 2l: 76, 1 caja cueiker: 50, 1 kilo de huevo: 60;Panaderia Francisco: 8 bolillos: 24</t>
  </si>
  <si>
    <t>4 aguas de litro Bonafont al tiempo,2 papas sabritas originales,2 donitas espolvoreadas,2 paquetes de salchichas de pavo</t>
  </si>
  <si>
    <t>Abarrotes Marqueza: 4 agua bonafon 1l: 80, 2 sabritas: 40, 2 donitas espolvoreadas: 44, 2 paquetes de salchichas de pavo: 44</t>
  </si>
  <si>
    <t xml:space="preserve">2 cosacos </t>
  </si>
  <si>
    <t>OXXO: 2 cosacos 600: 68</t>
  </si>
  <si>
    <t>subir despensa</t>
  </si>
  <si>
    <t>Pedidito: 1 serv subir despensa: 45</t>
  </si>
  <si>
    <t>2 lapices, 1 copia,1 pluma roja</t>
  </si>
  <si>
    <t>Papeleria jose: 1 pluma negra: 15, 1 copia: 2, 1 pluma negra: 10</t>
  </si>
  <si>
    <t>Moy peligro erik fer</t>
  </si>
  <si>
    <t>Moy, Chico P, Erick, Fer</t>
  </si>
  <si>
    <t>coca de 3l, 2 bolsas de totopos,1/4 queso blanco</t>
  </si>
  <si>
    <t>Abarrotes Marqueza: 1 coca 3l: 44, 1/4 panela: 40;Tortilleria oxxo: 2 bolsa de totopo: 40</t>
  </si>
  <si>
    <t>2 garrafones bonafont</t>
  </si>
  <si>
    <t>Abarrotes Marqueza: 2 Garrafones Bonafont: 126</t>
  </si>
  <si>
    <t>Moises A</t>
  </si>
  <si>
    <t>14A 202</t>
  </si>
  <si>
    <t>1 Peñafiel 2L fresada</t>
  </si>
  <si>
    <t>Abarrotes Marqueza: 1 Peñafiel 2L fresada: 29, 1 Garrafon Bonafont: 63</t>
  </si>
  <si>
    <t>2 banderillas salchiqueso 1 banderilla hawaiana 1 orden de papas, 1 spritr 3l</t>
  </si>
  <si>
    <t>La jaula banderillas, Abarrotes reyes</t>
  </si>
  <si>
    <t>La jaula banderillas: 2 banderillas salchiqueso: 160, 1 hawuaiana: 80, 1 papas: 60;Abarrotes reyes: 1 sprite 3l: 39</t>
  </si>
  <si>
    <t>Una arena de gato scoop away y una galletota de la fuente de sodas</t>
  </si>
  <si>
    <t>Costco: 2 arena de gato scoop away: 500, 2 galletota de la fuente de sodas: 86</t>
  </si>
  <si>
    <t>Josue Arzate</t>
  </si>
  <si>
    <t>Moises Alvares</t>
  </si>
  <si>
    <t>Mitzi Gasca</t>
  </si>
  <si>
    <t>MALVA</t>
  </si>
  <si>
    <t>MCASC</t>
  </si>
  <si>
    <t>JARZA</t>
  </si>
  <si>
    <t>Ian Carlo Esqui</t>
  </si>
  <si>
    <t>IESQU</t>
  </si>
  <si>
    <t>SCOSS</t>
  </si>
  <si>
    <t>Fernando Lopez</t>
  </si>
  <si>
    <t>FLOPE</t>
  </si>
  <si>
    <t>Daniel Rivera</t>
  </si>
  <si>
    <t>DRIVE</t>
  </si>
  <si>
    <t>User</t>
  </si>
  <si>
    <t>Status</t>
  </si>
  <si>
    <t>Bienvenido a</t>
  </si>
  <si>
    <t>Pedito Anzures</t>
  </si>
  <si>
    <t>Desconectado</t>
  </si>
  <si>
    <t>Disponbible</t>
  </si>
  <si>
    <t>En pedido</t>
  </si>
  <si>
    <t>Erick Alba</t>
  </si>
  <si>
    <t>EALBA</t>
  </si>
  <si>
    <t>Apodo/Nickname</t>
  </si>
  <si>
    <t>Xtrimi, Buba</t>
  </si>
  <si>
    <t>Mit</t>
  </si>
  <si>
    <t>Chico Peligro/Danger Boy</t>
  </si>
  <si>
    <t>Suavecito/ 5C</t>
  </si>
  <si>
    <t>Samu/ Chochi</t>
  </si>
  <si>
    <t>FernanFlower</t>
  </si>
  <si>
    <t>Daniel San</t>
  </si>
  <si>
    <t>Erick</t>
  </si>
  <si>
    <t>Samuel Andres cossio</t>
  </si>
  <si>
    <t>En proceso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</si>
</sst>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quot;$&quot;* #,##0.00_-;_-&quot;$&quot;* &quot;-&quot;??_-;_-@_-"/>
    <numFmt numFmtId="43" formatCode="_-* #,##0.00_-;\-* #,##0.00_-;_-* &quot;-&quot;??_-;_-@_-"/>
    <numFmt numFmtId="164" formatCode="dd/mm/yyyy\ hh:mm:ss"/>
    <numFmt numFmtId="165" formatCode="ddd\ dd\ mmm\ yyyy"/>
  </numFmts>
  <fonts count="15" x14ac:knownFonts="1">
    <font>
      <sz val="11"/>
      <color theme="1"/>
      <name val="Calibri"/>
      <family val="2"/>
      <scheme val="minor"/>
    </font>
    <font>
      <sz val="11"/>
      <color rgb="FF000000"/>
      <name val="Calibri"/>
      <family val="2"/>
    </font>
    <font>
      <sz val="11"/>
      <color theme="0"/>
      <name val="Calibri"/>
      <family val="2"/>
      <scheme val="minor"/>
    </font>
    <font>
      <sz val="36"/>
      <color theme="1"/>
      <name val="Calibri"/>
      <family val="2"/>
      <scheme val="minor"/>
    </font>
    <font>
      <b/>
      <sz val="11"/>
      <name val="Calibri"/>
      <family val="2"/>
      <scheme val="minor"/>
    </font>
    <font>
      <sz val="11"/>
      <name val="Calibri"/>
      <family val="2"/>
      <scheme val="minor"/>
    </font>
    <font>
      <u/>
      <sz val="11"/>
      <color theme="1"/>
      <name val="Calibri"/>
      <family val="2"/>
      <scheme val="minor"/>
    </font>
    <font>
      <sz val="11"/>
      <color rgb="FFFFFFFF"/>
      <name val="Calibri"/>
      <family val="2"/>
      <scheme val="minor"/>
    </font>
    <font>
      <b/>
      <sz val="11"/>
      <color theme="0"/>
      <name val="Calibri"/>
      <family val="2"/>
      <scheme val="minor"/>
    </font>
    <font>
      <sz val="8"/>
      <name val="Calibri"/>
      <family val="2"/>
      <scheme val="minor"/>
    </font>
    <font>
      <sz val="11"/>
      <color theme="1"/>
      <name val="Calibri"/>
      <family val="2"/>
      <scheme val="minor"/>
    </font>
    <font>
      <sz val="11"/>
      <color theme="2"/>
      <name val="Calibri"/>
      <family val="2"/>
      <scheme val="minor"/>
    </font>
    <font>
      <sz val="8"/>
      <color theme="1"/>
      <name val="Calibri"/>
      <family val="2"/>
      <scheme val="minor"/>
    </font>
    <font>
      <sz val="18"/>
      <color theme="1"/>
      <name val="Calibri"/>
      <family val="2"/>
      <scheme val="minor"/>
    </font>
    <font>
      <sz val="48"/>
      <color theme="4"/>
      <name val="Calibri"/>
      <family val="2"/>
      <scheme val="minor"/>
    </font>
  </fonts>
  <fills count="20">
    <fill>
      <patternFill patternType="none"/>
    </fill>
    <fill>
      <patternFill patternType="gray125"/>
    </fill>
    <fill>
      <patternFill patternType="solid">
        <fgColor theme="0"/>
        <bgColor theme="1"/>
      </patternFill>
    </fill>
    <fill>
      <patternFill patternType="solid">
        <fgColor theme="8" tint="0.39997558519241921"/>
        <bgColor theme="1"/>
      </patternFill>
    </fill>
    <fill>
      <patternFill patternType="solid">
        <fgColor theme="5" tint="0.39997558519241921"/>
        <bgColor theme="1"/>
      </patternFill>
    </fill>
    <fill>
      <patternFill patternType="solid">
        <fgColor theme="5" tint="0.39997558519241921"/>
        <bgColor indexed="64"/>
      </patternFill>
    </fill>
    <fill>
      <patternFill patternType="solid">
        <fgColor theme="2" tint="-0.249977111117893"/>
        <bgColor indexed="64"/>
      </patternFill>
    </fill>
    <fill>
      <patternFill patternType="solid">
        <fgColor theme="5" tint="0.59999389629810485"/>
        <bgColor indexed="64"/>
      </patternFill>
    </fill>
    <fill>
      <patternFill patternType="solid">
        <fgColor theme="0"/>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8" tint="-0.249977111117893"/>
        <bgColor indexed="64"/>
      </patternFill>
    </fill>
    <fill>
      <patternFill patternType="solid">
        <fgColor theme="8"/>
        <bgColor indexed="64"/>
      </patternFill>
    </fill>
    <fill>
      <patternFill patternType="solid">
        <fgColor theme="9" tint="0.59999389629810485"/>
        <bgColor indexed="64"/>
      </patternFill>
    </fill>
    <fill>
      <patternFill patternType="solid">
        <fgColor theme="9" tint="0.59999389629810485"/>
        <bgColor theme="1"/>
      </patternFill>
    </fill>
    <fill>
      <patternFill patternType="solid">
        <fgColor theme="4"/>
        <bgColor theme="4"/>
      </patternFill>
    </fill>
    <fill>
      <patternFill patternType="solid">
        <fgColor theme="0" tint="-0.14999847407452621"/>
        <bgColor theme="0" tint="-0.14999847407452621"/>
      </patternFill>
    </fill>
    <fill>
      <patternFill patternType="solid">
        <fgColor theme="0" tint="-4.9989318521683403E-2"/>
        <bgColor indexed="64"/>
      </patternFill>
    </fill>
    <fill>
      <patternFill patternType="solid">
        <fgColor theme="1"/>
        <bgColor indexed="64"/>
      </patternFill>
    </fill>
    <fill>
      <patternFill patternType="solid">
        <fgColor theme="2" tint="-9.9978637043366805E-2"/>
        <bgColor indexed="64"/>
      </patternFill>
    </fill>
  </fills>
  <borders count="31">
    <border>
      <left/>
      <right/>
      <top/>
      <bottom/>
      <diagonal/>
    </border>
    <border>
      <left/>
      <right/>
      <top style="thin">
        <color theme="1"/>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1"/>
      </left>
      <right/>
      <top style="thin">
        <color theme="1"/>
      </top>
      <bottom/>
      <diagonal/>
    </border>
    <border>
      <left/>
      <right style="thin">
        <color theme="1"/>
      </right>
      <top style="thin">
        <color theme="1"/>
      </top>
      <bottom/>
      <diagonal/>
    </border>
    <border>
      <left/>
      <right/>
      <top style="thin">
        <color theme="1"/>
      </top>
      <bottom style="thin">
        <color theme="1"/>
      </bottom>
      <diagonal/>
    </border>
    <border>
      <left style="thin">
        <color theme="1"/>
      </left>
      <right/>
      <top style="thin">
        <color theme="1"/>
      </top>
      <bottom style="thin">
        <color theme="1"/>
      </bottom>
      <diagonal/>
    </border>
    <border>
      <left style="thin">
        <color theme="1"/>
      </left>
      <right/>
      <top/>
      <bottom/>
      <diagonal/>
    </border>
    <border>
      <left/>
      <right/>
      <top/>
      <bottom style="medium">
        <color indexed="64"/>
      </bottom>
      <diagonal/>
    </border>
    <border>
      <left/>
      <right style="thin">
        <color theme="1"/>
      </right>
      <top/>
      <bottom/>
      <diagonal/>
    </border>
    <border>
      <left/>
      <right style="thin">
        <color theme="1"/>
      </right>
      <top style="thin">
        <color theme="1"/>
      </top>
      <bottom style="thin">
        <color theme="1"/>
      </bottom>
      <diagonal/>
    </border>
    <border>
      <left/>
      <right/>
      <top style="thin">
        <color indexed="64"/>
      </top>
      <bottom style="thin">
        <color indexed="64"/>
      </bottom>
      <diagonal/>
    </border>
    <border>
      <left/>
      <right/>
      <top style="thin">
        <color theme="5"/>
      </top>
      <bottom/>
      <diagonal/>
    </border>
    <border>
      <left style="thin">
        <color theme="4"/>
      </left>
      <right/>
      <top style="thin">
        <color theme="4"/>
      </top>
      <bottom/>
      <diagonal/>
    </border>
    <border>
      <left/>
      <right/>
      <top style="thin">
        <color theme="4"/>
      </top>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diagonal/>
    </border>
    <border>
      <left/>
      <right style="thin">
        <color theme="4"/>
      </right>
      <top style="thin">
        <color theme="4"/>
      </top>
      <bottom style="thin">
        <color theme="4"/>
      </bottom>
      <diagonal/>
    </border>
    <border>
      <left style="thin">
        <color theme="4"/>
      </left>
      <right style="thin">
        <color theme="1"/>
      </right>
      <top style="thin">
        <color theme="4"/>
      </top>
      <bottom style="thin">
        <color theme="1"/>
      </bottom>
      <diagonal/>
    </border>
    <border>
      <left style="thin">
        <color theme="1"/>
      </left>
      <right style="thin">
        <color theme="1"/>
      </right>
      <top style="thin">
        <color theme="4"/>
      </top>
      <bottom style="thin">
        <color theme="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5">
    <xf numFmtId="0" fontId="0" fillId="0" borderId="0"/>
    <xf numFmtId="43" fontId="10" fillId="0" borderId="0" applyFont="0" applyFill="0" applyBorder="0" applyAlignment="0" applyProtection="0"/>
    <xf numFmtId="44" fontId="10" fillId="0" borderId="0" applyFont="0" applyFill="0" applyBorder="0" applyAlignment="0" applyProtection="0"/>
    <xf numFmtId="43" fontId="10" fillId="0" borderId="0" applyFont="0" applyFill="0" applyBorder="0" applyAlignment="0" applyProtection="0"/>
    <xf numFmtId="44" fontId="10" fillId="0" borderId="0" applyFont="0" applyFill="0" applyBorder="0" applyAlignment="0" applyProtection="0"/>
  </cellStyleXfs>
  <cellXfs count="127">
    <xf numFmtId="0" fontId="0" fillId="0" borderId="0" xfId="0"/>
    <xf numFmtId="0" fontId="2" fillId="0" borderId="0" xfId="0" applyFont="1"/>
    <xf numFmtId="0" fontId="3" fillId="0" borderId="0" xfId="0" applyFont="1"/>
    <xf numFmtId="0" fontId="2" fillId="3" borderId="1" xfId="0" applyFont="1" applyFill="1" applyBorder="1"/>
    <xf numFmtId="22" fontId="2" fillId="3" borderId="1" xfId="0" applyNumberFormat="1" applyFont="1" applyFill="1" applyBorder="1"/>
    <xf numFmtId="0" fontId="0" fillId="6" borderId="0" xfId="0" applyFill="1"/>
    <xf numFmtId="0" fontId="0" fillId="6" borderId="2" xfId="0" applyFill="1" applyBorder="1"/>
    <xf numFmtId="0" fontId="0" fillId="7" borderId="0" xfId="0" applyFill="1"/>
    <xf numFmtId="0" fontId="0" fillId="7" borderId="3" xfId="0" applyFill="1" applyBorder="1"/>
    <xf numFmtId="0" fontId="0" fillId="7" borderId="4" xfId="0" applyFill="1" applyBorder="1"/>
    <xf numFmtId="0" fontId="0" fillId="7" borderId="6" xfId="0" applyFill="1" applyBorder="1"/>
    <xf numFmtId="0" fontId="0" fillId="7" borderId="5" xfId="0" applyFill="1" applyBorder="1"/>
    <xf numFmtId="0" fontId="0" fillId="7" borderId="7" xfId="0" applyFill="1" applyBorder="1"/>
    <xf numFmtId="0" fontId="0" fillId="8" borderId="6" xfId="0" applyFill="1" applyBorder="1"/>
    <xf numFmtId="0" fontId="0" fillId="8" borderId="0" xfId="0" applyFill="1"/>
    <xf numFmtId="0" fontId="0" fillId="8" borderId="7" xfId="0" applyFill="1" applyBorder="1"/>
    <xf numFmtId="0" fontId="0" fillId="9" borderId="0" xfId="0" applyFill="1"/>
    <xf numFmtId="0" fontId="0" fillId="9" borderId="7" xfId="0" applyFill="1" applyBorder="1"/>
    <xf numFmtId="0" fontId="0" fillId="9" borderId="2" xfId="0" applyFill="1" applyBorder="1"/>
    <xf numFmtId="0" fontId="0" fillId="9" borderId="9" xfId="0" applyFill="1" applyBorder="1"/>
    <xf numFmtId="0" fontId="0" fillId="10" borderId="3" xfId="0" applyFill="1" applyBorder="1"/>
    <xf numFmtId="0" fontId="0" fillId="10" borderId="4" xfId="0" applyFill="1" applyBorder="1"/>
    <xf numFmtId="0" fontId="0" fillId="10" borderId="5" xfId="0" applyFill="1" applyBorder="1"/>
    <xf numFmtId="0" fontId="0" fillId="10" borderId="6" xfId="0" applyFill="1" applyBorder="1"/>
    <xf numFmtId="0" fontId="0" fillId="10" borderId="0" xfId="0" applyFill="1"/>
    <xf numFmtId="0" fontId="0" fillId="10" borderId="7" xfId="0" applyFill="1" applyBorder="1"/>
    <xf numFmtId="0" fontId="0" fillId="10" borderId="8" xfId="0" applyFill="1" applyBorder="1"/>
    <xf numFmtId="0" fontId="0" fillId="10" borderId="2" xfId="0" applyFill="1" applyBorder="1"/>
    <xf numFmtId="0" fontId="0" fillId="10" borderId="9" xfId="0" applyFill="1" applyBorder="1"/>
    <xf numFmtId="0" fontId="0" fillId="0" borderId="0" xfId="0" applyAlignment="1">
      <alignment horizontal="left" vertical="top"/>
    </xf>
    <xf numFmtId="0" fontId="2" fillId="11" borderId="10" xfId="0" applyFont="1" applyFill="1" applyBorder="1"/>
    <xf numFmtId="22" fontId="2" fillId="11" borderId="1" xfId="0" applyNumberFormat="1" applyFont="1" applyFill="1" applyBorder="1"/>
    <xf numFmtId="0" fontId="2" fillId="11" borderId="1" xfId="0" applyFont="1" applyFill="1" applyBorder="1"/>
    <xf numFmtId="0" fontId="2" fillId="11" borderId="11" xfId="0" applyFont="1" applyFill="1" applyBorder="1"/>
    <xf numFmtId="14" fontId="2" fillId="11" borderId="1" xfId="0" applyNumberFormat="1" applyFont="1" applyFill="1" applyBorder="1"/>
    <xf numFmtId="44" fontId="2" fillId="11" borderId="11" xfId="0" applyNumberFormat="1" applyFont="1" applyFill="1" applyBorder="1"/>
    <xf numFmtId="0" fontId="0" fillId="11" borderId="0" xfId="0" applyFill="1" applyAlignment="1">
      <alignment horizontal="left" vertical="top"/>
    </xf>
    <xf numFmtId="0" fontId="7" fillId="0" borderId="0" xfId="0" applyFont="1"/>
    <xf numFmtId="0" fontId="0" fillId="5" borderId="1" xfId="0" applyFill="1" applyBorder="1"/>
    <xf numFmtId="0" fontId="0" fillId="5" borderId="12" xfId="0" applyFill="1" applyBorder="1"/>
    <xf numFmtId="0" fontId="4" fillId="3" borderId="0" xfId="0" applyFont="1" applyFill="1"/>
    <xf numFmtId="0" fontId="5" fillId="2" borderId="10" xfId="0" applyFont="1" applyFill="1" applyBorder="1"/>
    <xf numFmtId="0" fontId="5" fillId="2" borderId="13" xfId="0" applyFont="1" applyFill="1" applyBorder="1"/>
    <xf numFmtId="0" fontId="2" fillId="4" borderId="1" xfId="0" applyFont="1" applyFill="1" applyBorder="1"/>
    <xf numFmtId="0" fontId="4" fillId="4" borderId="0" xfId="0" applyFont="1" applyFill="1"/>
    <xf numFmtId="0" fontId="4" fillId="4" borderId="14" xfId="0" applyFont="1" applyFill="1" applyBorder="1"/>
    <xf numFmtId="0" fontId="8" fillId="5" borderId="0" xfId="0" applyFont="1" applyFill="1"/>
    <xf numFmtId="0" fontId="4" fillId="3" borderId="14" xfId="0" applyFont="1" applyFill="1" applyBorder="1"/>
    <xf numFmtId="0" fontId="5" fillId="2" borderId="1" xfId="0" applyFont="1" applyFill="1" applyBorder="1"/>
    <xf numFmtId="0" fontId="0" fillId="5" borderId="0" xfId="0" applyFill="1"/>
    <xf numFmtId="0" fontId="0" fillId="0" borderId="0" xfId="0" applyAlignment="1">
      <alignment horizontal="right" vertical="top"/>
    </xf>
    <xf numFmtId="0" fontId="2" fillId="4" borderId="10" xfId="0" applyFont="1" applyFill="1" applyBorder="1"/>
    <xf numFmtId="0" fontId="0" fillId="0" borderId="0" xfId="0" applyAlignment="1">
      <alignment horizontal="center"/>
    </xf>
    <xf numFmtId="0" fontId="0" fillId="0" borderId="15" xfId="0" applyBorder="1"/>
    <xf numFmtId="0" fontId="11" fillId="12" borderId="15" xfId="0" applyFont="1" applyFill="1" applyBorder="1" applyAlignment="1">
      <alignment horizontal="center" wrapText="1"/>
    </xf>
    <xf numFmtId="44" fontId="0" fillId="0" borderId="0" xfId="2" applyFont="1"/>
    <xf numFmtId="0" fontId="11" fillId="12" borderId="2" xfId="0" applyFont="1" applyFill="1" applyBorder="1" applyAlignment="1">
      <alignment horizontal="center"/>
    </xf>
    <xf numFmtId="14" fontId="0" fillId="0" borderId="0" xfId="0" applyNumberFormat="1"/>
    <xf numFmtId="44" fontId="0" fillId="0" borderId="0" xfId="0" applyNumberFormat="1"/>
    <xf numFmtId="0" fontId="0" fillId="0" borderId="0" xfId="1" applyNumberFormat="1" applyFont="1"/>
    <xf numFmtId="0" fontId="2" fillId="3" borderId="0" xfId="0" applyFont="1" applyFill="1"/>
    <xf numFmtId="0" fontId="5" fillId="3" borderId="1" xfId="0" applyFont="1" applyFill="1" applyBorder="1"/>
    <xf numFmtId="0" fontId="2" fillId="3" borderId="4" xfId="0" applyFont="1" applyFill="1" applyBorder="1"/>
    <xf numFmtId="0" fontId="2" fillId="3" borderId="18" xfId="0" applyFont="1" applyFill="1" applyBorder="1"/>
    <xf numFmtId="0" fontId="2" fillId="0" borderId="18" xfId="0" applyFont="1" applyBorder="1"/>
    <xf numFmtId="0" fontId="5" fillId="3" borderId="11" xfId="0" applyFont="1" applyFill="1" applyBorder="1"/>
    <xf numFmtId="0" fontId="2" fillId="3" borderId="11" xfId="0" applyFont="1" applyFill="1" applyBorder="1"/>
    <xf numFmtId="0" fontId="5" fillId="13" borderId="0" xfId="0" applyFont="1" applyFill="1"/>
    <xf numFmtId="0" fontId="5" fillId="14" borderId="11" xfId="0" applyFont="1" applyFill="1" applyBorder="1"/>
    <xf numFmtId="0" fontId="5" fillId="14" borderId="0" xfId="0" applyFont="1" applyFill="1"/>
    <xf numFmtId="0" fontId="5" fillId="13" borderId="11" xfId="0" applyFont="1" applyFill="1" applyBorder="1"/>
    <xf numFmtId="0" fontId="2" fillId="3" borderId="16" xfId="0" applyFont="1" applyFill="1" applyBorder="1"/>
    <xf numFmtId="0" fontId="5" fillId="13" borderId="17" xfId="0" applyFont="1" applyFill="1" applyBorder="1"/>
    <xf numFmtId="0" fontId="0" fillId="0" borderId="0" xfId="0" applyAlignment="1">
      <alignment wrapText="1"/>
    </xf>
    <xf numFmtId="0" fontId="11" fillId="12" borderId="2" xfId="0" applyFont="1" applyFill="1" applyBorder="1" applyAlignment="1">
      <alignment horizontal="center" wrapText="1"/>
    </xf>
    <xf numFmtId="0" fontId="11" fillId="12" borderId="0" xfId="0" applyFont="1" applyFill="1" applyAlignment="1">
      <alignment horizontal="center" wrapText="1"/>
    </xf>
    <xf numFmtId="0" fontId="0" fillId="12" borderId="0" xfId="0" applyFill="1"/>
    <xf numFmtId="0" fontId="2" fillId="11" borderId="0" xfId="0" applyFont="1" applyFill="1" applyAlignment="1">
      <alignment horizontal="center" vertical="center"/>
    </xf>
    <xf numFmtId="14" fontId="2" fillId="11" borderId="0" xfId="0" applyNumberFormat="1" applyFont="1" applyFill="1" applyAlignment="1">
      <alignment horizontal="center" vertical="center"/>
    </xf>
    <xf numFmtId="0" fontId="2" fillId="4" borderId="0" xfId="0" applyFont="1" applyFill="1"/>
    <xf numFmtId="0" fontId="5" fillId="2" borderId="0" xfId="0" applyFont="1" applyFill="1"/>
    <xf numFmtId="0" fontId="5" fillId="2" borderId="12" xfId="0" applyFont="1" applyFill="1" applyBorder="1"/>
    <xf numFmtId="0" fontId="0" fillId="5" borderId="11" xfId="0" applyFill="1" applyBorder="1"/>
    <xf numFmtId="0" fontId="2" fillId="11" borderId="0" xfId="0" applyFont="1" applyFill="1" applyAlignment="1">
      <alignment horizontal="center" vertical="top"/>
    </xf>
    <xf numFmtId="14" fontId="2" fillId="11" borderId="0" xfId="0" applyNumberFormat="1" applyFont="1" applyFill="1" applyAlignment="1">
      <alignment horizontal="center" vertical="top"/>
    </xf>
    <xf numFmtId="0" fontId="0" fillId="0" borderId="0" xfId="0" applyAlignment="1">
      <alignment vertical="top"/>
    </xf>
    <xf numFmtId="0" fontId="0" fillId="5" borderId="19" xfId="0" applyFill="1" applyBorder="1"/>
    <xf numFmtId="22" fontId="2" fillId="3" borderId="0" xfId="0" applyNumberFormat="1" applyFont="1" applyFill="1"/>
    <xf numFmtId="0" fontId="5" fillId="3" borderId="0" xfId="0" applyFont="1" applyFill="1"/>
    <xf numFmtId="0" fontId="2" fillId="11" borderId="0" xfId="0" applyFont="1" applyFill="1" applyAlignment="1">
      <alignment horizontal="left" vertical="top"/>
    </xf>
    <xf numFmtId="164" fontId="2" fillId="3" borderId="1" xfId="0" applyNumberFormat="1" applyFont="1" applyFill="1" applyBorder="1"/>
    <xf numFmtId="44" fontId="0" fillId="0" borderId="0" xfId="1" applyNumberFormat="1" applyFont="1"/>
    <xf numFmtId="0" fontId="0" fillId="0" borderId="21" xfId="0" applyBorder="1"/>
    <xf numFmtId="0" fontId="0" fillId="0" borderId="23" xfId="0" applyBorder="1"/>
    <xf numFmtId="0" fontId="0" fillId="0" borderId="20" xfId="0" applyBorder="1"/>
    <xf numFmtId="0" fontId="0" fillId="0" borderId="24" xfId="0" applyBorder="1"/>
    <xf numFmtId="0" fontId="0" fillId="0" borderId="22" xfId="0" applyBorder="1"/>
    <xf numFmtId="0" fontId="0" fillId="0" borderId="25" xfId="0" applyBorder="1"/>
    <xf numFmtId="0" fontId="0" fillId="0" borderId="24" xfId="0" applyBorder="1" applyAlignment="1">
      <alignment horizontal="left" vertical="top"/>
    </xf>
    <xf numFmtId="0" fontId="8" fillId="15" borderId="20" xfId="0" applyFont="1" applyFill="1" applyBorder="1" applyAlignment="1">
      <alignment horizontal="left" vertical="top"/>
    </xf>
    <xf numFmtId="0" fontId="8" fillId="15" borderId="21" xfId="0" applyFont="1" applyFill="1" applyBorder="1" applyAlignment="1">
      <alignment horizontal="left" vertical="top"/>
    </xf>
    <xf numFmtId="0" fontId="8" fillId="15" borderId="24" xfId="0" applyFont="1" applyFill="1" applyBorder="1" applyAlignment="1">
      <alignment horizontal="left" vertical="top"/>
    </xf>
    <xf numFmtId="0" fontId="0" fillId="16" borderId="26" xfId="0" applyFill="1" applyBorder="1"/>
    <xf numFmtId="0" fontId="0" fillId="16" borderId="27" xfId="0" applyFill="1" applyBorder="1"/>
    <xf numFmtId="0" fontId="0" fillId="17" borderId="0" xfId="0" applyFill="1"/>
    <xf numFmtId="165" fontId="0" fillId="17" borderId="0" xfId="0" applyNumberFormat="1" applyFill="1"/>
    <xf numFmtId="0" fontId="2" fillId="18" borderId="0" xfId="0" applyFont="1" applyFill="1"/>
    <xf numFmtId="165" fontId="0" fillId="19" borderId="0" xfId="0" applyNumberFormat="1" applyFill="1"/>
    <xf numFmtId="165" fontId="0" fillId="19" borderId="28" xfId="0" applyNumberFormat="1" applyFill="1" applyBorder="1"/>
    <xf numFmtId="165" fontId="0" fillId="17" borderId="29" xfId="0" applyNumberFormat="1" applyFill="1" applyBorder="1"/>
    <xf numFmtId="165" fontId="0" fillId="17" borderId="30" xfId="0" applyNumberFormat="1" applyFill="1" applyBorder="1"/>
    <xf numFmtId="0" fontId="0" fillId="17" borderId="30" xfId="0" applyFill="1" applyBorder="1"/>
    <xf numFmtId="0" fontId="0" fillId="17" borderId="29" xfId="0" applyFill="1" applyBorder="1"/>
    <xf numFmtId="44" fontId="2" fillId="4" borderId="0" xfId="2" applyFont="1" applyFill="1"/>
    <xf numFmtId="0" fontId="0" fillId="0" borderId="10" xfId="0" applyBorder="1"/>
    <xf numFmtId="0" fontId="0" fillId="0" borderId="1" xfId="0" applyBorder="1"/>
    <xf numFmtId="0" fontId="12" fillId="0" borderId="0" xfId="0" applyFont="1" applyAlignment="1">
      <alignment wrapText="1"/>
    </xf>
    <xf numFmtId="0" fontId="0" fillId="0" borderId="4" xfId="0" applyBorder="1"/>
    <xf numFmtId="0" fontId="0" fillId="0" borderId="18" xfId="0" applyBorder="1"/>
    <xf numFmtId="0" fontId="5" fillId="3" borderId="4" xfId="0" applyFont="1" applyFill="1" applyBorder="1"/>
    <xf numFmtId="14" fontId="0" fillId="11" borderId="0" xfId="0" applyNumberFormat="1" applyFill="1" applyAlignment="1">
      <alignment horizontal="left" vertical="top"/>
    </xf>
    <xf numFmtId="164" fontId="2" fillId="3" borderId="10" xfId="0" applyNumberFormat="1" applyFont="1" applyFill="1" applyBorder="1"/>
    <xf numFmtId="0" fontId="4" fillId="4" borderId="19" xfId="0" applyFont="1" applyFill="1" applyBorder="1"/>
    <xf numFmtId="0" fontId="0" fillId="0" borderId="0" xfId="0" applyAlignment="1">
      <alignment horizontal="left" vertical="top" wrapText="1"/>
    </xf>
    <xf numFmtId="0" fontId="0" fillId="0" borderId="0" xfId="0" applyAlignment="1">
      <alignment horizontal="left" vertical="top"/>
    </xf>
    <xf numFmtId="0" fontId="13" fillId="0" borderId="0" xfId="0" applyFont="1"/>
    <xf numFmtId="0" fontId="14" fillId="0" borderId="0" xfId="0" applyFont="1"/>
  </cellXfs>
  <cellStyles count="5">
    <cellStyle name="Millares" xfId="1" builtinId="3"/>
    <cellStyle name="Millares 2" xfId="3" xr:uid="{385DF8BC-A436-4007-85ED-ADC0CB9B6A99}"/>
    <cellStyle name="Moneda" xfId="2" builtinId="4"/>
    <cellStyle name="Moneda 2" xfId="4" xr:uid="{E7E93241-96C7-4119-9E23-20B7D509B402}"/>
    <cellStyle name="Normal" xfId="0" builtinId="0"/>
  </cellStyles>
  <dxfs count="71">
    <dxf>
      <fill>
        <patternFill>
          <bgColor rgb="FF92D050"/>
        </patternFill>
      </fill>
    </dxf>
    <dxf>
      <font>
        <color rgb="FF9C0006"/>
      </font>
      <fill>
        <patternFill>
          <bgColor rgb="FFFFC7CE"/>
        </patternFill>
      </fill>
    </dxf>
    <dxf>
      <fill>
        <patternFill>
          <bgColor theme="9" tint="0.59996337778862885"/>
        </patternFill>
      </fill>
    </dxf>
    <dxf>
      <fill>
        <patternFill>
          <bgColor rgb="FFFF0000"/>
        </patternFill>
      </fill>
    </dxf>
    <dxf>
      <fill>
        <patternFill>
          <bgColor theme="9" tint="0.39994506668294322"/>
        </patternFill>
      </fill>
    </dxf>
    <dxf>
      <fill>
        <patternFill>
          <bgColor rgb="FFFE8672"/>
        </patternFill>
      </fill>
    </dxf>
    <dxf>
      <fill>
        <patternFill>
          <bgColor rgb="FF92D050"/>
        </patternFill>
      </fill>
    </dxf>
    <dxf>
      <font>
        <b val="0"/>
        <i val="0"/>
        <strike val="0"/>
        <condense val="0"/>
        <extend val="0"/>
        <outline val="0"/>
        <shadow val="0"/>
        <u val="none"/>
        <vertAlign val="baseline"/>
        <sz val="11"/>
        <color theme="0"/>
        <name val="Calibri"/>
        <family val="2"/>
        <scheme val="minor"/>
      </font>
      <fill>
        <patternFill patternType="solid">
          <fgColor theme="1"/>
          <bgColor theme="5" tint="0.39997558519241921"/>
        </patternFill>
      </fill>
    </dxf>
    <dxf>
      <font>
        <b val="0"/>
        <i val="0"/>
        <strike val="0"/>
        <condense val="0"/>
        <extend val="0"/>
        <outline val="0"/>
        <shadow val="0"/>
        <u val="none"/>
        <vertAlign val="baseline"/>
        <sz val="11"/>
        <color theme="0"/>
        <name val="Calibri"/>
        <family val="2"/>
        <scheme val="minor"/>
      </font>
      <numFmt numFmtId="0" formatCode="General"/>
      <fill>
        <patternFill patternType="solid">
          <fgColor theme="1"/>
          <bgColor theme="5" tint="0.39997558519241921"/>
        </patternFill>
      </fill>
    </dxf>
    <dxf>
      <font>
        <b val="0"/>
        <i val="0"/>
        <strike val="0"/>
        <condense val="0"/>
        <extend val="0"/>
        <outline val="0"/>
        <shadow val="0"/>
        <u val="none"/>
        <vertAlign val="baseline"/>
        <sz val="11"/>
        <color theme="0"/>
        <name val="Calibri"/>
        <family val="2"/>
        <scheme val="minor"/>
      </font>
      <numFmt numFmtId="0" formatCode="General"/>
      <fill>
        <patternFill patternType="solid">
          <fgColor theme="1"/>
          <bgColor theme="5" tint="0.39997558519241921"/>
        </patternFill>
      </fill>
    </dxf>
    <dxf>
      <font>
        <b val="0"/>
        <i val="0"/>
        <strike val="0"/>
        <condense val="0"/>
        <extend val="0"/>
        <outline val="0"/>
        <shadow val="0"/>
        <u val="none"/>
        <vertAlign val="baseline"/>
        <sz val="11"/>
        <color theme="0"/>
        <name val="Calibri"/>
        <family val="2"/>
        <scheme val="minor"/>
      </font>
      <fill>
        <patternFill patternType="solid">
          <fgColor theme="1"/>
          <bgColor theme="5" tint="0.39997558519241921"/>
        </patternFill>
      </fill>
      <border diagonalUp="0" diagonalDown="0">
        <left style="thin">
          <color theme="1"/>
        </left>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5" tint="0.39997558519241921"/>
        </patternFill>
      </fill>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style="thin">
          <color theme="1"/>
        </right>
        <top style="thin">
          <color theme="1"/>
        </top>
        <bottom/>
        <vertical/>
        <horizontal/>
      </border>
    </dxf>
    <dxf>
      <border outline="0">
        <bottom style="thin">
          <color theme="1"/>
        </bottom>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dxf>
    <dxf>
      <font>
        <strike val="0"/>
        <outline val="0"/>
        <shadow val="0"/>
        <u val="none"/>
        <vertAlign val="baseline"/>
        <sz val="11"/>
        <color auto="1"/>
        <name val="Calibri"/>
        <family val="2"/>
        <scheme val="minor"/>
      </font>
      <numFmt numFmtId="0" formatCode="General"/>
      <fill>
        <patternFill patternType="solid">
          <bgColor theme="9" tint="0.59999389629810485"/>
        </patternFill>
      </fill>
    </dxf>
    <dxf>
      <font>
        <strike val="0"/>
        <outline val="0"/>
        <shadow val="0"/>
        <u val="none"/>
        <vertAlign val="baseline"/>
        <sz val="11"/>
        <color auto="1"/>
        <name val="Calibri"/>
        <family val="2"/>
        <scheme val="minor"/>
      </font>
      <fill>
        <patternFill patternType="solid">
          <bgColor theme="9" tint="0.59999389629810485"/>
        </patternFill>
      </fill>
    </dxf>
    <dxf>
      <font>
        <strike val="0"/>
        <outline val="0"/>
        <shadow val="0"/>
        <u val="none"/>
        <vertAlign val="baseline"/>
        <sz val="11"/>
        <color auto="1"/>
        <name val="Calibri"/>
        <family val="2"/>
        <scheme val="minor"/>
      </font>
      <numFmt numFmtId="0" formatCode="General"/>
      <fill>
        <patternFill patternType="solid">
          <bgColor theme="9" tint="0.59999389629810485"/>
        </patternFill>
      </fill>
    </dxf>
    <dxf>
      <font>
        <strike val="0"/>
        <outline val="0"/>
        <shadow val="0"/>
        <u val="none"/>
        <vertAlign val="baseline"/>
        <sz val="11"/>
        <color auto="1"/>
        <name val="Calibri"/>
        <family val="2"/>
        <scheme val="minor"/>
      </font>
      <numFmt numFmtId="0" formatCode="General"/>
      <fill>
        <patternFill patternType="solid">
          <bgColor theme="9" tint="0.59999389629810485"/>
        </patternFill>
      </fill>
    </dxf>
    <dxf>
      <font>
        <strike val="0"/>
        <outline val="0"/>
        <shadow val="0"/>
        <u val="none"/>
        <vertAlign val="baseline"/>
        <sz val="11"/>
        <color auto="1"/>
        <name val="Calibri"/>
        <family val="2"/>
        <scheme val="minor"/>
      </font>
      <fill>
        <patternFill patternType="solid">
          <bgColor theme="9" tint="0.59999389629810485"/>
        </patternFill>
      </fill>
    </dxf>
    <dxf>
      <font>
        <strike val="0"/>
        <outline val="0"/>
        <shadow val="0"/>
        <u val="none"/>
        <vertAlign val="baseline"/>
        <sz val="11"/>
        <color auto="1"/>
        <name val="Calibri"/>
        <family val="2"/>
        <scheme val="minor"/>
      </font>
      <fill>
        <patternFill patternType="solid">
          <bgColor theme="9" tint="0.59999389629810485"/>
        </patternFill>
      </fill>
    </dxf>
    <dxf>
      <font>
        <strike val="0"/>
        <outline val="0"/>
        <shadow val="0"/>
        <u val="none"/>
        <vertAlign val="baseline"/>
        <sz val="11"/>
        <color auto="1"/>
        <name val="Calibri"/>
        <family val="2"/>
        <scheme val="minor"/>
      </font>
      <fill>
        <patternFill patternType="solid">
          <bgColor theme="9" tint="0.59999389629810485"/>
        </patternFill>
      </fill>
    </dxf>
    <dxf>
      <numFmt numFmtId="34" formatCode="_-&quot;$&quot;* #,##0.00_-;\-&quot;$&quot;* #,##0.00_-;_-&quot;$&quot;* &quot;-&quot;??_-;_-@_-"/>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dxf>
    <dxf>
      <numFmt numFmtId="34" formatCode="_-&quot;$&quot;* #,##0.00_-;\-&quot;$&quot;* #,##0.00_-;_-&quot;$&quot;* &quot;-&quot;??_-;_-@_-"/>
    </dxf>
    <dxf>
      <font>
        <b val="0"/>
        <i val="0"/>
        <strike val="0"/>
        <condense val="0"/>
        <extend val="0"/>
        <outline val="0"/>
        <shadow val="0"/>
        <u val="none"/>
        <vertAlign val="baseline"/>
        <sz val="11"/>
        <color theme="1"/>
        <name val="Calibri"/>
        <family val="2"/>
        <scheme val="minor"/>
      </font>
      <numFmt numFmtId="34" formatCode="_-&quot;$&quot;* #,##0.00_-;\-&quot;$&quot;* #,##0.00_-;_-&quot;$&quot;* &quot;-&quot;??_-;_-@_-"/>
    </dxf>
    <dxf>
      <numFmt numFmtId="34" formatCode="_-&quot;$&quot;* #,##0.00_-;\-&quot;$&quot;* #,##0.00_-;_-&quot;$&quot;* &quot;-&quot;??_-;_-@_-"/>
    </dxf>
    <dxf>
      <numFmt numFmtId="34" formatCode="_-&quot;$&quot;* #,##0.00_-;\-&quot;$&quot;* #,##0.00_-;_-&quot;$&quot;* &quot;-&quot;??_-;_-@_-"/>
    </dxf>
    <dxf>
      <numFmt numFmtId="19" formatCode="dd/mm/yyyy"/>
    </dxf>
    <dxf>
      <numFmt numFmtId="19" formatCode="dd/mm/yyyy"/>
    </dxf>
    <dxf>
      <font>
        <b val="0"/>
        <i val="0"/>
        <strike val="0"/>
        <condense val="0"/>
        <extend val="0"/>
        <outline val="0"/>
        <shadow val="0"/>
        <u val="none"/>
        <vertAlign val="baseline"/>
        <sz val="11"/>
        <color theme="2"/>
        <name val="Calibri"/>
        <family val="2"/>
        <scheme val="minor"/>
      </font>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theme="1"/>
          <bgColor theme="8" tint="0.39997558519241921"/>
        </patternFill>
      </fill>
      <border diagonalUp="0" diagonalDown="0" outline="0">
        <left/>
        <right/>
        <top style="thin">
          <color theme="1"/>
        </top>
        <bottom/>
      </border>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outline="0">
        <left/>
        <right/>
        <top style="thin">
          <color theme="1"/>
        </top>
        <bottom/>
      </border>
    </dxf>
    <dxf>
      <font>
        <b val="0"/>
        <i val="0"/>
        <strike val="0"/>
        <condense val="0"/>
        <extend val="0"/>
        <outline val="0"/>
        <shadow val="0"/>
        <u val="none"/>
        <vertAlign val="baseline"/>
        <sz val="11"/>
        <color theme="0"/>
        <name val="Calibri"/>
        <family val="2"/>
        <scheme val="minor"/>
      </font>
      <numFmt numFmtId="27" formatCode="dd/mm/yyyy\ hh:mm"/>
      <fill>
        <patternFill patternType="solid">
          <fgColor theme="1"/>
          <bgColor theme="8" tint="0.39997558519241921"/>
        </patternFill>
      </fill>
      <border diagonalUp="0" diagonalDown="0">
        <left/>
        <right/>
        <top style="thin">
          <color theme="1"/>
        </top>
        <bottom/>
        <vertical/>
        <horizontal/>
      </border>
    </dxf>
    <dxf>
      <border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auto="1"/>
        <name val="Calibri"/>
        <family val="2"/>
        <scheme val="minor"/>
      </font>
      <fill>
        <patternFill patternType="solid">
          <fgColor theme="1"/>
          <bgColor theme="8" tint="0.39997558519241921"/>
        </patternFill>
      </fill>
    </dxf>
    <dxf>
      <font>
        <b/>
        <i val="0"/>
        <strike val="0"/>
        <condense val="0"/>
        <extend val="0"/>
        <outline val="0"/>
        <shadow val="0"/>
        <u val="none"/>
        <vertAlign val="baseline"/>
        <sz val="11"/>
        <color auto="1"/>
        <name val="Calibri"/>
        <family val="2"/>
        <scheme val="minor"/>
      </font>
      <fill>
        <patternFill patternType="solid">
          <fgColor theme="1"/>
          <bgColor theme="8" tint="0.39997558519241921"/>
        </patternFill>
      </fill>
    </dxf>
    <dxf>
      <font>
        <b val="0"/>
        <i val="0"/>
        <strike val="0"/>
        <condense val="0"/>
        <extend val="0"/>
        <outline val="0"/>
        <shadow val="0"/>
        <u val="none"/>
        <vertAlign val="baseline"/>
        <sz val="11"/>
        <color theme="1"/>
        <name val="Calibri"/>
        <family val="2"/>
        <scheme val="minor"/>
      </font>
      <fill>
        <patternFill patternType="solid">
          <fgColor indexed="64"/>
          <bgColor theme="5" tint="0.39997558519241921"/>
        </patternFill>
      </fill>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5" tint="0.39997558519241921"/>
        </patternFill>
      </fill>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5" tint="0.39997558519241921"/>
        </patternFill>
      </fill>
      <border diagonalUp="0" diagonalDown="0">
        <left/>
        <right/>
        <top style="thin">
          <color theme="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5" tint="0.39997558519241921"/>
        </patternFill>
      </fill>
      <border diagonalUp="0" diagonalDown="0">
        <left/>
        <right/>
        <top style="thin">
          <color theme="1"/>
        </top>
        <bottom/>
        <vertical/>
        <horizontal/>
      </border>
    </dxf>
    <dxf>
      <font>
        <b val="0"/>
        <i val="0"/>
        <strike val="0"/>
        <condense val="0"/>
        <extend val="0"/>
        <outline val="0"/>
        <shadow val="0"/>
        <u val="none"/>
        <vertAlign val="baseline"/>
        <sz val="11"/>
        <color auto="1"/>
        <name val="Calibri"/>
        <family val="2"/>
        <scheme val="minor"/>
      </font>
      <fill>
        <patternFill patternType="solid">
          <fgColor theme="1"/>
          <bgColor theme="0"/>
        </patternFill>
      </fill>
      <border diagonalUp="0" diagonalDown="0" outline="0">
        <left/>
        <right/>
        <top style="thin">
          <color theme="1"/>
        </top>
        <bottom/>
      </border>
    </dxf>
    <dxf>
      <font>
        <b val="0"/>
        <i val="0"/>
        <strike val="0"/>
        <condense val="0"/>
        <extend val="0"/>
        <outline val="0"/>
        <shadow val="0"/>
        <u val="none"/>
        <vertAlign val="baseline"/>
        <sz val="11"/>
        <color theme="0"/>
        <name val="Calibri"/>
        <family val="2"/>
        <scheme val="minor"/>
      </font>
      <fill>
        <patternFill patternType="solid">
          <fgColor theme="1"/>
          <bgColor theme="5" tint="0.39997558519241921"/>
        </patternFill>
      </fill>
      <border diagonalUp="0" diagonalDown="0" outline="0">
        <left/>
        <right/>
        <top style="thin">
          <color theme="1"/>
        </top>
        <bottom/>
      </border>
    </dxf>
    <dxf>
      <border outline="0">
        <left style="thin">
          <color theme="1"/>
        </left>
        <right style="thin">
          <color theme="1"/>
        </right>
        <top style="thin">
          <color theme="1"/>
        </top>
      </border>
    </dxf>
    <dxf>
      <font>
        <b val="0"/>
        <i val="0"/>
        <strike val="0"/>
        <condense val="0"/>
        <extend val="0"/>
        <outline val="0"/>
        <shadow val="0"/>
        <u val="none"/>
        <vertAlign val="baseline"/>
        <sz val="11"/>
        <color theme="1"/>
        <name val="Calibri"/>
        <family val="2"/>
        <scheme val="minor"/>
      </font>
      <fill>
        <patternFill patternType="solid">
          <fgColor indexed="64"/>
          <bgColor theme="5" tint="0.39997558519241921"/>
        </patternFill>
      </fill>
    </dxf>
    <dxf>
      <font>
        <b/>
        <i val="0"/>
        <strike val="0"/>
        <condense val="0"/>
        <extend val="0"/>
        <outline val="0"/>
        <shadow val="0"/>
        <u val="none"/>
        <vertAlign val="baseline"/>
        <sz val="11"/>
        <color theme="0"/>
        <name val="Calibri"/>
        <family val="2"/>
        <scheme val="minor"/>
      </font>
      <fill>
        <patternFill patternType="solid">
          <fgColor indexed="64"/>
          <bgColor theme="5" tint="0.39997558519241921"/>
        </patternFill>
      </fill>
    </dxf>
    <dxf>
      <font>
        <strike val="0"/>
        <outline val="0"/>
        <shadow val="0"/>
        <u val="none"/>
        <vertAlign val="baseline"/>
        <sz val="8"/>
        <color theme="1"/>
        <name val="Calibri"/>
        <family val="2"/>
        <scheme val="minor"/>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theme="1"/>
          <bgColor theme="8" tint="0.39997558519241921"/>
        </patternFill>
      </fill>
      <border diagonalUp="0" diagonalDown="0">
        <left/>
        <right/>
        <top style="thin">
          <color theme="1"/>
        </top>
        <bottom/>
        <vertical/>
        <horizontal/>
      </border>
    </dxf>
    <dxf>
      <alignment horizontal="left" vertical="top"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8" tint="-0.249977111117893"/>
        </patternFill>
      </fill>
    </dxf>
    <dxf>
      <font>
        <strike val="0"/>
        <outline val="0"/>
        <shadow val="0"/>
        <u val="none"/>
        <vertAlign val="baseline"/>
        <sz val="11"/>
        <color theme="0"/>
        <name val="Calibri"/>
        <family val="2"/>
        <scheme val="minor"/>
      </font>
      <fill>
        <patternFill patternType="solid">
          <fgColor indexed="64"/>
          <bgColor theme="8" tint="-0.249977111117893"/>
        </patternFill>
      </fill>
    </dxf>
    <dxf>
      <font>
        <strike val="0"/>
        <outline val="0"/>
        <shadow val="0"/>
        <u val="none"/>
        <vertAlign val="baseline"/>
        <sz val="11"/>
        <color theme="0"/>
        <name val="Calibri"/>
        <family val="2"/>
        <scheme val="minor"/>
      </font>
      <numFmt numFmtId="19" formatCode="dd/mm/yyyy"/>
      <fill>
        <patternFill patternType="solid">
          <fgColor indexed="64"/>
          <bgColor theme="8" tint="-0.249977111117893"/>
        </patternFill>
      </fill>
    </dxf>
    <dxf>
      <font>
        <strike val="0"/>
        <outline val="0"/>
        <shadow val="0"/>
        <u val="none"/>
        <vertAlign val="baseline"/>
        <sz val="11"/>
        <color theme="0"/>
        <name val="Calibri"/>
        <family val="2"/>
        <scheme val="minor"/>
      </font>
      <fill>
        <patternFill patternType="solid">
          <fgColor indexed="64"/>
          <bgColor theme="8" tint="-0.249977111117893"/>
        </patternFill>
      </fill>
    </dxf>
    <dxf>
      <font>
        <strike val="0"/>
        <outline val="0"/>
        <shadow val="0"/>
        <u val="none"/>
        <vertAlign val="baseline"/>
        <sz val="11"/>
        <color theme="0"/>
        <name val="Calibri"/>
        <family val="2"/>
        <scheme val="minor"/>
      </font>
      <fill>
        <patternFill patternType="solid">
          <fgColor indexed="64"/>
          <bgColor theme="8" tint="-0.249977111117893"/>
        </patternFill>
      </fill>
    </dxf>
    <dxf>
      <fill>
        <patternFill patternType="solid">
          <fgColor indexed="64"/>
          <bgColor theme="8" tint="-0.249977111117893"/>
        </patternFill>
      </fill>
      <alignment horizontal="left" vertical="top" textRotation="0" wrapText="0" indent="0" justifyLastLine="0" shrinkToFit="0" readingOrder="0"/>
    </dxf>
  </dxfs>
  <tableStyles count="0" defaultTableStyle="TableStyleMedium2" defaultPivotStyle="PivotStyleLight16"/>
  <colors>
    <mruColors>
      <color rgb="FFD9E1F2"/>
      <color rgb="FFFE8672"/>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6C-4EFF-A8A2-B1937FEE271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6C-4EFF-A8A2-B1937FEE271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6C-4EFF-A8A2-B1937FEE271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6C-4EFF-A8A2-B1937FEE271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6C-4EFF-A8A2-B1937FEE271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6C-4EFF-A8A2-B1937FEE271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6C-4EFF-A8A2-B1937FEE271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6C-4EFF-A8A2-B1937FEE271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6C-4EFF-A8A2-B1937FEE271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6C-4EFF-A8A2-B1937FEE271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6C-4EFF-A8A2-B1937FEE271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6C-4EFF-A8A2-B1937FEE271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6C-4EFF-A8A2-B1937FEE271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6C-4EFF-A8A2-B1937FEE271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6C-4EFF-A8A2-B1937FEE271B}"/>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0C6C-4EFF-A8A2-B1937FEE271B}"/>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0C6C-4EFF-A8A2-B1937FEE271B}"/>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0C6C-4EFF-A8A2-B1937FEE271B}"/>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0C6C-4EFF-A8A2-B1937FEE271B}"/>
              </c:ext>
            </c:extLst>
          </c:dPt>
          <c:cat>
            <c:strRef>
              <c:f>Proveedores!$B$3:$B$21</c:f>
              <c:strCache>
                <c:ptCount val="19"/>
                <c:pt idx="0">
                  <c:v>Abarrotes Marqueza</c:v>
                </c:pt>
                <c:pt idx="1">
                  <c:v>Costco</c:v>
                </c:pt>
                <c:pt idx="2">
                  <c:v>OXXO</c:v>
                </c:pt>
                <c:pt idx="3">
                  <c:v>Abarrotes reyes</c:v>
                </c:pt>
                <c:pt idx="4">
                  <c:v>Mercado aquiles cerdan</c:v>
                </c:pt>
                <c:pt idx="5">
                  <c:v>Recauderia Judith</c:v>
                </c:pt>
                <c:pt idx="6">
                  <c:v>Recauderia Judith</c:v>
                </c:pt>
                <c:pt idx="7">
                  <c:v>zorro</c:v>
                </c:pt>
                <c:pt idx="8">
                  <c:v>Pedidito</c:v>
                </c:pt>
                <c:pt idx="9">
                  <c:v>Barbacoca esqui cch</c:v>
                </c:pt>
                <c:pt idx="10">
                  <c:v>Carniceria Angel Amado</c:v>
                </c:pt>
                <c:pt idx="11">
                  <c:v>Hamburguesas</c:v>
                </c:pt>
                <c:pt idx="12">
                  <c:v>Polleria Bachoco</c:v>
                </c:pt>
                <c:pt idx="13">
                  <c:v>Papeleria jose</c:v>
                </c:pt>
                <c:pt idx="14">
                  <c:v>Tortilleria oxxo</c:v>
                </c:pt>
                <c:pt idx="15">
                  <c:v>Panaderia pan chino</c:v>
                </c:pt>
                <c:pt idx="16">
                  <c:v>Farmacia Rancho Anzaldo</c:v>
                </c:pt>
                <c:pt idx="17">
                  <c:v>Abarrotes serranita</c:v>
                </c:pt>
                <c:pt idx="18">
                  <c:v>Mario tamales</c:v>
                </c:pt>
              </c:strCache>
            </c:strRef>
          </c:cat>
          <c:val>
            <c:numRef>
              <c:f>Proveedores!$C$3:$C$21</c:f>
              <c:numCache>
                <c:formatCode>General</c:formatCode>
                <c:ptCount val="19"/>
                <c:pt idx="0">
                  <c:v>161</c:v>
                </c:pt>
                <c:pt idx="1">
                  <c:v>17</c:v>
                </c:pt>
                <c:pt idx="2">
                  <c:v>30</c:v>
                </c:pt>
                <c:pt idx="3">
                  <c:v>13</c:v>
                </c:pt>
                <c:pt idx="4">
                  <c:v>1</c:v>
                </c:pt>
                <c:pt idx="5">
                  <c:v>14</c:v>
                </c:pt>
                <c:pt idx="6">
                  <c:v>14</c:v>
                </c:pt>
                <c:pt idx="7">
                  <c:v>6</c:v>
                </c:pt>
                <c:pt idx="8">
                  <c:v>5</c:v>
                </c:pt>
                <c:pt idx="9">
                  <c:v>2</c:v>
                </c:pt>
                <c:pt idx="10">
                  <c:v>5</c:v>
                </c:pt>
                <c:pt idx="11">
                  <c:v>3</c:v>
                </c:pt>
                <c:pt idx="12">
                  <c:v>5</c:v>
                </c:pt>
                <c:pt idx="13">
                  <c:v>12</c:v>
                </c:pt>
                <c:pt idx="14">
                  <c:v>11</c:v>
                </c:pt>
                <c:pt idx="15">
                  <c:v>4</c:v>
                </c:pt>
                <c:pt idx="16">
                  <c:v>2</c:v>
                </c:pt>
                <c:pt idx="17">
                  <c:v>2</c:v>
                </c:pt>
                <c:pt idx="18">
                  <c:v>2</c:v>
                </c:pt>
              </c:numCache>
            </c:numRef>
          </c:val>
          <c:extLst>
            <c:ext xmlns:c16="http://schemas.microsoft.com/office/drawing/2014/chart" uri="{C3380CC4-5D6E-409C-BE32-E72D297353CC}">
              <c16:uniqueId val="{00000000-4951-41C8-80C5-11D14FA52574}"/>
            </c:ext>
          </c:extLst>
        </c:ser>
        <c:ser>
          <c:idx val="1"/>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27-0C6C-4EFF-A8A2-B1937FEE271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9-0C6C-4EFF-A8A2-B1937FEE271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B-0C6C-4EFF-A8A2-B1937FEE271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D-0C6C-4EFF-A8A2-B1937FEE271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2F-0C6C-4EFF-A8A2-B1937FEE271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31-0C6C-4EFF-A8A2-B1937FEE271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33-0C6C-4EFF-A8A2-B1937FEE271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35-0C6C-4EFF-A8A2-B1937FEE271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37-0C6C-4EFF-A8A2-B1937FEE271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39-0C6C-4EFF-A8A2-B1937FEE271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3B-0C6C-4EFF-A8A2-B1937FEE271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3D-0C6C-4EFF-A8A2-B1937FEE271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3F-0C6C-4EFF-A8A2-B1937FEE271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41-0C6C-4EFF-A8A2-B1937FEE271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43-0C6C-4EFF-A8A2-B1937FEE271B}"/>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45-0C6C-4EFF-A8A2-B1937FEE271B}"/>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47-0C6C-4EFF-A8A2-B1937FEE271B}"/>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49-0C6C-4EFF-A8A2-B1937FEE271B}"/>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4B-0C6C-4EFF-A8A2-B1937FEE271B}"/>
              </c:ext>
            </c:extLst>
          </c:dPt>
          <c:cat>
            <c:strRef>
              <c:f>Proveedores!$B$3:$B$21</c:f>
              <c:strCache>
                <c:ptCount val="19"/>
                <c:pt idx="0">
                  <c:v>Abarrotes Marqueza</c:v>
                </c:pt>
                <c:pt idx="1">
                  <c:v>Costco</c:v>
                </c:pt>
                <c:pt idx="2">
                  <c:v>OXXO</c:v>
                </c:pt>
                <c:pt idx="3">
                  <c:v>Abarrotes reyes</c:v>
                </c:pt>
                <c:pt idx="4">
                  <c:v>Mercado aquiles cerdan</c:v>
                </c:pt>
                <c:pt idx="5">
                  <c:v>Recauderia Judith</c:v>
                </c:pt>
                <c:pt idx="6">
                  <c:v>Recauderia Judith</c:v>
                </c:pt>
                <c:pt idx="7">
                  <c:v>zorro</c:v>
                </c:pt>
                <c:pt idx="8">
                  <c:v>Pedidito</c:v>
                </c:pt>
                <c:pt idx="9">
                  <c:v>Barbacoca esqui cch</c:v>
                </c:pt>
                <c:pt idx="10">
                  <c:v>Carniceria Angel Amado</c:v>
                </c:pt>
                <c:pt idx="11">
                  <c:v>Hamburguesas</c:v>
                </c:pt>
                <c:pt idx="12">
                  <c:v>Polleria Bachoco</c:v>
                </c:pt>
                <c:pt idx="13">
                  <c:v>Papeleria jose</c:v>
                </c:pt>
                <c:pt idx="14">
                  <c:v>Tortilleria oxxo</c:v>
                </c:pt>
                <c:pt idx="15">
                  <c:v>Panaderia pan chino</c:v>
                </c:pt>
                <c:pt idx="16">
                  <c:v>Farmacia Rancho Anzaldo</c:v>
                </c:pt>
                <c:pt idx="17">
                  <c:v>Abarrotes serranita</c:v>
                </c:pt>
                <c:pt idx="18">
                  <c:v>Mario tamales</c:v>
                </c:pt>
              </c:strCache>
            </c:strRef>
          </c:cat>
          <c:val>
            <c:numRef>
              <c:f>Proveedores!$D$3:$D$21</c:f>
              <c:numCache>
                <c:formatCode>_("$"* #,##0.00_);_("$"* \(#,##0.00\);_("$"* "-"??_);_(@_)</c:formatCode>
                <c:ptCount val="19"/>
                <c:pt idx="0">
                  <c:v>0</c:v>
                </c:pt>
                <c:pt idx="1">
                  <c:v>1788</c:v>
                </c:pt>
                <c:pt idx="2">
                  <c:v>1742</c:v>
                </c:pt>
                <c:pt idx="3">
                  <c:v>634</c:v>
                </c:pt>
                <c:pt idx="4">
                  <c:v>513</c:v>
                </c:pt>
                <c:pt idx="5">
                  <c:v>510</c:v>
                </c:pt>
                <c:pt idx="6">
                  <c:v>510</c:v>
                </c:pt>
                <c:pt idx="7">
                  <c:v>289</c:v>
                </c:pt>
                <c:pt idx="8">
                  <c:v>275</c:v>
                </c:pt>
                <c:pt idx="9">
                  <c:v>238</c:v>
                </c:pt>
                <c:pt idx="10">
                  <c:v>200</c:v>
                </c:pt>
                <c:pt idx="11">
                  <c:v>190</c:v>
                </c:pt>
                <c:pt idx="12">
                  <c:v>175</c:v>
                </c:pt>
                <c:pt idx="13">
                  <c:v>155</c:v>
                </c:pt>
                <c:pt idx="14">
                  <c:v>112</c:v>
                </c:pt>
                <c:pt idx="15">
                  <c:v>106</c:v>
                </c:pt>
                <c:pt idx="16">
                  <c:v>95</c:v>
                </c:pt>
                <c:pt idx="17">
                  <c:v>82</c:v>
                </c:pt>
                <c:pt idx="18">
                  <c:v>25</c:v>
                </c:pt>
              </c:numCache>
            </c:numRef>
          </c:val>
          <c:extLst>
            <c:ext xmlns:c16="http://schemas.microsoft.com/office/drawing/2014/chart" uri="{C3380CC4-5D6E-409C-BE32-E72D297353CC}">
              <c16:uniqueId val="{00000001-4951-41C8-80C5-11D14FA52574}"/>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20116070562049271"/>
          <c:y val="0.60251492561548714"/>
          <c:w val="0.31834099911203345"/>
          <c:h val="0.3785948713346622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3</xdr:row>
          <xdr:rowOff>38100</xdr:rowOff>
        </xdr:from>
        <xdr:to>
          <xdr:col>2</xdr:col>
          <xdr:colOff>247650</xdr:colOff>
          <xdr:row>5</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Comenzar Turno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485775</xdr:colOff>
          <xdr:row>4</xdr:row>
          <xdr:rowOff>180975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Terminar Turno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2</xdr:row>
          <xdr:rowOff>104775</xdr:rowOff>
        </xdr:from>
        <xdr:to>
          <xdr:col>1</xdr:col>
          <xdr:colOff>1181100</xdr:colOff>
          <xdr:row>4</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Nuevo Cliente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2</xdr:row>
          <xdr:rowOff>47625</xdr:rowOff>
        </xdr:from>
        <xdr:to>
          <xdr:col>6</xdr:col>
          <xdr:colOff>971550</xdr:colOff>
          <xdr:row>3</xdr:row>
          <xdr:rowOff>95250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Completar Pedido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2</xdr:row>
          <xdr:rowOff>47625</xdr:rowOff>
        </xdr:from>
        <xdr:to>
          <xdr:col>6</xdr:col>
          <xdr:colOff>971550</xdr:colOff>
          <xdr:row>3</xdr:row>
          <xdr:rowOff>95250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Completar Pedido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161925</xdr:colOff>
          <xdr:row>17</xdr:row>
          <xdr:rowOff>161925</xdr:rowOff>
        </xdr:from>
        <xdr:to>
          <xdr:col>0</xdr:col>
          <xdr:colOff>1228725</xdr:colOff>
          <xdr:row>19</xdr:row>
          <xdr:rowOff>95250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D150ABA-B038-841B-9C79-BA5439028FA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Nuevo Pedido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20</xdr:row>
          <xdr:rowOff>28575</xdr:rowOff>
        </xdr:from>
        <xdr:to>
          <xdr:col>0</xdr:col>
          <xdr:colOff>1200150</xdr:colOff>
          <xdr:row>21</xdr:row>
          <xdr:rowOff>123825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9EA91364-5099-332C-0680-D35FED371CA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Completar Pedido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1371600</xdr:colOff>
          <xdr:row>12</xdr:row>
          <xdr:rowOff>152400</xdr:rowOff>
        </xdr:from>
        <xdr:to>
          <xdr:col>2</xdr:col>
          <xdr:colOff>704850</xdr:colOff>
          <xdr:row>13</xdr:row>
          <xdr:rowOff>180975</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300-000005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Botón 5</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752475</xdr:colOff>
          <xdr:row>11</xdr:row>
          <xdr:rowOff>19050</xdr:rowOff>
        </xdr:from>
        <xdr:to>
          <xdr:col>4</xdr:col>
          <xdr:colOff>1476375</xdr:colOff>
          <xdr:row>12</xdr:row>
          <xdr:rowOff>133350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Agregar Pedido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5</xdr:col>
      <xdr:colOff>114300</xdr:colOff>
      <xdr:row>5</xdr:row>
      <xdr:rowOff>19049</xdr:rowOff>
    </xdr:from>
    <xdr:to>
      <xdr:col>7</xdr:col>
      <xdr:colOff>609600</xdr:colOff>
      <xdr:row>36</xdr:row>
      <xdr:rowOff>123824</xdr:rowOff>
    </xdr:to>
    <xdr:graphicFrame macro="">
      <xdr:nvGraphicFramePr>
        <xdr:cNvPr id="4" name="Gráfico 3">
          <a:extLst>
            <a:ext uri="{FF2B5EF4-FFF2-40B4-BE49-F238E27FC236}">
              <a16:creationId xmlns:a16="http://schemas.microsoft.com/office/drawing/2014/main" id="{D297FAF2-9F51-4AFE-BB29-000DB916DB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sus/Downloads/Pedidito-update-27.02.2025-2-main/Pedidito-update-27.02.2025-main/Formulario%20Pedidito%2024.02.25-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Asus/Downloads/Copia%20de%20Formulario%20Pedidito%2017.02.25.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Pedidito\Documents\Pedidito%20Prados\Vigentes\Formulario%20Pedidito_COPIAR.xlsm" TargetMode="External"/><Relationship Id="rId1" Type="http://schemas.openxmlformats.org/officeDocument/2006/relationships/externalLinkPath" Target="/Users/Pedidito/Documents/Pedidito%20Prados/Vigentes/Formulario%20Pedidito_COPIA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RTE"/>
      <sheetName val="Base Pedidito"/>
      <sheetName val="Costco"/>
      <sheetName val="Productos"/>
      <sheetName val="Proveedores"/>
      <sheetName val="Clientes"/>
      <sheetName val="Almacen"/>
      <sheetName val="RESUMEN DE MES HISTORIAL"/>
      <sheetName val="Control de Documentos"/>
      <sheetName val="Formulario Pedidito 24.02.25-2"/>
    </sheetNames>
    <sheetDataSet>
      <sheetData sheetId="0"/>
      <sheetData sheetId="1">
        <row r="18">
          <cell r="H18">
            <v>230</v>
          </cell>
          <cell r="K18">
            <v>250</v>
          </cell>
        </row>
        <row r="19">
          <cell r="H19">
            <v>145</v>
          </cell>
          <cell r="K19">
            <v>165</v>
          </cell>
        </row>
        <row r="20">
          <cell r="H20">
            <v>110</v>
          </cell>
          <cell r="K20">
            <v>130</v>
          </cell>
        </row>
        <row r="21">
          <cell r="H21">
            <v>450</v>
          </cell>
          <cell r="K21">
            <v>470</v>
          </cell>
        </row>
        <row r="22">
          <cell r="H22">
            <v>93</v>
          </cell>
          <cell r="K22">
            <v>113</v>
          </cell>
        </row>
      </sheetData>
      <sheetData sheetId="2"/>
      <sheetData sheetId="3"/>
      <sheetData sheetId="4"/>
      <sheetData sheetId="5"/>
      <sheetData sheetId="6"/>
      <sheetData sheetId="7"/>
      <sheetData sheetId="8"/>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RTE"/>
      <sheetName val="Base Pedidito"/>
      <sheetName val="Hoja1"/>
      <sheetName val="Clientes"/>
      <sheetName val="Sicometrico "/>
      <sheetName val="Almacen"/>
      <sheetName val="Pedidito"/>
      <sheetName val="Control de Documentos"/>
      <sheetName val="Copia de Formulario Pedidito 17"/>
    </sheetNames>
    <sheetDataSet>
      <sheetData sheetId="0"/>
      <sheetData sheetId="1">
        <row r="22">
          <cell r="G22">
            <v>328</v>
          </cell>
          <cell r="J22">
            <v>348</v>
          </cell>
        </row>
        <row r="23">
          <cell r="G23">
            <v>244</v>
          </cell>
          <cell r="J23">
            <v>274</v>
          </cell>
        </row>
        <row r="24">
          <cell r="G24">
            <v>270</v>
          </cell>
          <cell r="J24">
            <v>310</v>
          </cell>
        </row>
        <row r="69">
          <cell r="G69">
            <v>83</v>
          </cell>
          <cell r="J69">
            <v>103</v>
          </cell>
        </row>
        <row r="70">
          <cell r="G70">
            <v>368</v>
          </cell>
          <cell r="J70">
            <v>347</v>
          </cell>
        </row>
        <row r="71">
          <cell r="G71">
            <v>80</v>
          </cell>
          <cell r="J71">
            <v>105</v>
          </cell>
        </row>
        <row r="72">
          <cell r="G72">
            <v>96</v>
          </cell>
          <cell r="J72">
            <v>130</v>
          </cell>
        </row>
        <row r="73">
          <cell r="G73">
            <v>73</v>
          </cell>
          <cell r="J73">
            <v>95</v>
          </cell>
        </row>
        <row r="74">
          <cell r="G74">
            <v>99</v>
          </cell>
          <cell r="J74">
            <v>130</v>
          </cell>
        </row>
        <row r="75">
          <cell r="G75">
            <v>70</v>
          </cell>
          <cell r="J75">
            <v>120</v>
          </cell>
        </row>
        <row r="76">
          <cell r="G76">
            <v>72</v>
          </cell>
          <cell r="J76">
            <v>92</v>
          </cell>
        </row>
        <row r="77">
          <cell r="G77">
            <v>86</v>
          </cell>
          <cell r="J77">
            <v>103</v>
          </cell>
        </row>
        <row r="84">
          <cell r="G84">
            <v>51</v>
          </cell>
          <cell r="H84">
            <v>0</v>
          </cell>
          <cell r="J84">
            <v>80</v>
          </cell>
        </row>
        <row r="85">
          <cell r="G85">
            <v>162</v>
          </cell>
          <cell r="H85">
            <v>0</v>
          </cell>
          <cell r="J85">
            <v>200</v>
          </cell>
        </row>
        <row r="88">
          <cell r="G88">
            <v>279</v>
          </cell>
          <cell r="J88">
            <v>330</v>
          </cell>
        </row>
        <row r="89">
          <cell r="G89">
            <v>109</v>
          </cell>
          <cell r="J89">
            <v>150</v>
          </cell>
        </row>
        <row r="90">
          <cell r="G90">
            <v>186</v>
          </cell>
          <cell r="J90">
            <v>270</v>
          </cell>
        </row>
        <row r="91">
          <cell r="G91">
            <v>156</v>
          </cell>
          <cell r="J91">
            <v>180</v>
          </cell>
        </row>
      </sheetData>
      <sheetData sheetId="2"/>
      <sheetData sheetId="3"/>
      <sheetData sheetId="4"/>
      <sheetData sheetId="5"/>
      <sheetData sheetId="6"/>
      <sheetData sheetId="7"/>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Base Pedidito"/>
      <sheetName val="CORTE"/>
      <sheetName val="Clientes"/>
      <sheetName val="Pedidito"/>
      <sheetName val="Pruebas Macros"/>
      <sheetName val="Almacen"/>
      <sheetName val="Descuentos Tiendas"/>
      <sheetName val="Control de Documentos"/>
    </sheetNames>
    <sheetDataSet>
      <sheetData sheetId="0" refreshError="1">
        <row r="13">
          <cell r="G13">
            <v>146</v>
          </cell>
          <cell r="J13">
            <v>168</v>
          </cell>
        </row>
        <row r="14">
          <cell r="G14">
            <v>109</v>
          </cell>
          <cell r="J14">
            <v>150</v>
          </cell>
        </row>
        <row r="15">
          <cell r="G15">
            <v>96</v>
          </cell>
          <cell r="J15">
            <v>122</v>
          </cell>
        </row>
        <row r="16">
          <cell r="G16">
            <v>431</v>
          </cell>
          <cell r="J16">
            <v>520</v>
          </cell>
        </row>
        <row r="17">
          <cell r="G17">
            <v>65</v>
          </cell>
          <cell r="J17">
            <v>90</v>
          </cell>
        </row>
        <row r="18">
          <cell r="G18">
            <v>30</v>
          </cell>
          <cell r="J18">
            <v>62</v>
          </cell>
        </row>
        <row r="19">
          <cell r="G19">
            <v>170</v>
          </cell>
          <cell r="J19">
            <v>208</v>
          </cell>
        </row>
      </sheetData>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E5D7DEF-3376-4474-B027-FC45B508BB3A}" name="Comenzar_turno" displayName="Comenzar_turno" ref="A10:D81" totalsRowShown="0" headerRowDxfId="70" dataDxfId="69">
  <autoFilter ref="A10:D81" xr:uid="{CE5D7DEF-3376-4474-B027-FC45B508BB3A}"/>
  <tableColumns count="4">
    <tableColumn id="1" xr3:uid="{67A7BB7C-AD9A-4C38-A23E-1F0B5749ECF5}" name="Repartidor" dataDxfId="68"/>
    <tableColumn id="2" xr3:uid="{6B3F7E1C-A993-4763-B25B-46DE2D15C197}" name="Fecha" dataDxfId="67"/>
    <tableColumn id="3" xr3:uid="{303D6E46-F3A4-4D5D-AB87-18BE915E3505}" name="Turno" dataDxfId="66"/>
    <tableColumn id="4" xr3:uid="{F6D33013-6E5A-4681-B5C4-B7637EDF8D39}" name="Efectivo caja " dataDxfId="6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5B38F47-2459-47F8-BEB0-FD573A594CDA}" name="Terminar_turno" displayName="Terminar_turno" ref="E10:K80" totalsRowShown="0" headerRowDxfId="64">
  <autoFilter ref="E10:K80" xr:uid="{75B38F47-2459-47F8-BEB0-FD573A594CDA}"/>
  <tableColumns count="7">
    <tableColumn id="1" xr3:uid="{F0643681-3DC0-4487-90FC-60C226E1C444}" name="pedidos"/>
    <tableColumn id="2" xr3:uid="{CDA208A2-5ACF-412B-ACDD-7754B9B9AA83}" name="Total real"/>
    <tableColumn id="3" xr3:uid="{3AF079D1-6554-496C-AD40-D0C28D4766D9}" name="Total + xtra"/>
    <tableColumn id="4" xr3:uid="{E8CBF298-BD9E-4858-AEAF-CC8FB8B25992}" name="Ganancia "/>
    <tableColumn id="5" xr3:uid="{4DBB79E5-885F-40C7-B0EF-0EE9E218F0E6}" name="Utlildad"/>
    <tableColumn id="6" xr3:uid="{56A8D367-36D1-4187-A2B4-A1BA32736232}" name="It Services"/>
    <tableColumn id="7" xr3:uid="{1223370E-536A-46BC-9A0F-C611A3E05B6C}" name="Workforce"/>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6CC099-673E-4C26-90CD-339E0904BB88}" name="Clientes" displayName="Clientes" ref="B4:H76" totalsRowShown="0">
  <autoFilter ref="B4:H76" xr:uid="{CE6CC099-673E-4C26-90CD-339E0904BB88}"/>
  <sortState xmlns:xlrd2="http://schemas.microsoft.com/office/spreadsheetml/2017/richdata2" ref="B5:H64">
    <sortCondition descending="1" ref="E4:E64"/>
  </sortState>
  <tableColumns count="7">
    <tableColumn id="1" xr3:uid="{7AE82262-028E-43BE-8EF4-20BF9A6D4841}" name="nombre" dataDxfId="63"/>
    <tableColumn id="2" xr3:uid="{E747493F-6441-4FD8-A35B-04DE268F1609}" name="numero"/>
    <tableColumn id="3" xr3:uid="{B10B2293-26F7-4EC6-B035-BB7DC7E2238B}" name="Domicilio"/>
    <tableColumn id="4" xr3:uid="{AECD5A48-8AD4-4EB0-ADC3-812B78D91B94}" name="# Pedidos ">
      <calculatedColumnFormula>COUNTIF(Tabla1[Nombre completo],Clientes[[#This Row],[nombre]])</calculatedColumnFormula>
    </tableColumn>
    <tableColumn id="5" xr3:uid="{F45DEF8C-7998-477D-8DB6-E7CFD79D23FD}" name="# Pedidos">
      <calculatedColumnFormula>COUNTIF(Tabla1[Direcciòn],Clientes[[#This Row],[Domicilio]])</calculatedColumnFormula>
    </tableColumn>
    <tableColumn id="6" xr3:uid="{5236D441-687D-4784-A3D6-26B81DE1D4C7}" name="Consumo" dataDxfId="62">
      <calculatedColumnFormula array="1">UnirPedidos(Clientes[[#This Row],[nombre]],Tabla1[Nombre completo],Tabla1[Pedido])</calculatedColumnFormula>
    </tableColumn>
    <tableColumn id="7" xr3:uid="{0D0174B9-B5EB-4CA0-9694-EE872574F166}" name="Columna1"/>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23BD7F7-42AF-4ABD-A8EE-B60CA2A6199A}" name="Tabla9" displayName="Tabla9" ref="E9:K322" totalsRowShown="0" headerRowDxfId="61" dataDxfId="60" tableBorderDxfId="59">
  <autoFilter ref="E9:K322" xr:uid="{023BD7F7-42AF-4ABD-A8EE-B60CA2A6199A}"/>
  <tableColumns count="7">
    <tableColumn id="1" xr3:uid="{FA1E7B6A-3D08-429D-9C0D-DC196CB99970}" name="Locales" dataDxfId="58"/>
    <tableColumn id="2" xr3:uid="{0C37A469-01B8-43DF-BF39-D3DED0A1CEAC}" name="Metodo de Pago" dataDxfId="57"/>
    <tableColumn id="7" xr3:uid="{3A8F8946-34EA-4C63-8F52-CCB4E14A9A3F}" name="Ticket"/>
    <tableColumn id="3" xr3:uid="{C5BBF4DE-696E-4185-9A5F-235F062FE063}" name="Total Real" dataDxfId="56"/>
    <tableColumn id="4" xr3:uid="{D9CCA53A-0D7F-4013-A0C5-7CD99011B4F6}" name="Propina" dataDxfId="55"/>
    <tableColumn id="5" xr3:uid="{E0C926B9-E96E-47E1-9CB2-1A934EB3F966}" name="Tarifa" dataDxfId="54"/>
    <tableColumn id="6" xr3:uid="{C0561433-BC0D-4667-9BD4-5B63ABB3DA2D}" name="Total Final" dataDxfId="53"/>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3883005-9AE1-4B7F-BB70-B12EFB522B89}" name="Tabla1" displayName="Tabla1" ref="A9:D322" totalsRowShown="0" headerRowDxfId="52" dataDxfId="51" tableBorderDxfId="50">
  <autoFilter ref="A9:D322" xr:uid="{F3883005-9AE1-4B7F-BB70-B12EFB522B89}"/>
  <tableColumns count="4">
    <tableColumn id="1" xr3:uid="{F410642A-0585-436D-909E-E7A03C444667}" name="Fecha y Hora" dataDxfId="49"/>
    <tableColumn id="2" xr3:uid="{1F24463A-CFAA-4BAF-BB60-BD8FF4B35C5D}" name="Nombre completo" dataDxfId="48"/>
    <tableColumn id="3" xr3:uid="{E00424A4-36FA-449C-BF46-FD09425251AB}" name="Direcciòn" dataDxfId="47"/>
    <tableColumn id="4" xr3:uid="{50FF7BD1-6107-4E20-B40A-2ED5DFB4D6FA}" name="Pedido" dataDxfId="46"/>
  </tableColumns>
  <tableStyleInfo name="TableStyleMedium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54D9BAC-33EC-4439-B677-2BB0B7BD1946}" name="Repartidores" displayName="Repartidores" ref="A4:E12" totalsRowShown="0">
  <autoFilter ref="A4:E12" xr:uid="{154D9BAC-33EC-4439-B677-2BB0B7BD1946}"/>
  <tableColumns count="5">
    <tableColumn id="1" xr3:uid="{8756AB98-4B6C-4F0E-BAC3-2BBE45C35B13}" name="Nombre"/>
    <tableColumn id="2" xr3:uid="{070FE155-E239-445A-9295-C6346A00ECDE}" name="Apodo/Nickname"/>
    <tableColumn id="3" xr3:uid="{8069D3F7-B470-4283-AFC1-4588ED53D815}" name="User"/>
    <tableColumn id="4" xr3:uid="{E5C59B94-B04F-402D-96BE-60457604B1E5}" name="Status"/>
    <tableColumn id="5" xr3:uid="{A43AE25C-A999-4D51-8579-E3BF26E6AB82}" name="En proce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C0D8ACC-D17B-44DF-B7A8-81B3F47AF7AB}" name="Costco_tabla" displayName="Costco_tabla" ref="A17:P19" totalsRowShown="0" headerRowDxfId="45">
  <autoFilter ref="A17:P19" xr:uid="{BC0D8ACC-D17B-44DF-B7A8-81B3F47AF7AB}"/>
  <tableColumns count="16">
    <tableColumn id="1" xr3:uid="{8CF32CE9-409D-4AC7-AFCA-B260B1221893}" name="Fecha" dataDxfId="44"/>
    <tableColumn id="16" xr3:uid="{64DAB21F-DA27-4B9E-BFA4-26A8BBEE8614}" name="Cliente" dataDxfId="43"/>
    <tableColumn id="20" xr3:uid="{BFE56CD4-A3C2-472F-AFE1-5B85C22C28EC}" name="Invertido" dataDxfId="42">
      <calculatedColumnFormula>G18*B$7+H18*B$8+I18*B$9+J18*B$10+K18*B$11+L18*B$12+M18*B$13+N18*B$14+B$15*O18</calculatedColumnFormula>
    </tableColumn>
    <tableColumn id="19" xr3:uid="{C7487E87-8DE4-4197-BC6A-EA752BE32B49}" name="Vendido" dataDxfId="41">
      <calculatedColumnFormula>G18*C$7+H18*C$8+I18*C$9+J18*C$10+K18*C$11+L18*C$12+M18*C$13+N18*C$14+C$15*O18</calculatedColumnFormula>
    </tableColumn>
    <tableColumn id="2" xr3:uid="{0138A24C-E40D-491D-9FE4-40C4C41DE2BA}" name="Ganado" dataDxfId="40" dataCellStyle="Millares">
      <calculatedColumnFormula>D18-C18</calculatedColumnFormula>
    </tableColumn>
    <tableColumn id="21" xr3:uid="{F390E579-BCF5-4069-A6EF-F0B8CB9FC088}" name="Total " dataDxfId="39">
      <calculatedColumnFormula>SUM(G18:P19)</calculatedColumnFormula>
    </tableColumn>
    <tableColumn id="4" xr3:uid="{73CC6ED3-FCE8-4537-BB67-75737EDA13A4}" name="Hot dog" dataDxfId="38" dataCellStyle="Millares"/>
    <tableColumn id="5" xr3:uid="{06BC5D4D-8CA8-46D0-983F-A933042BF6FF}" name="Rebanada de pizza " dataDxfId="37"/>
    <tableColumn id="6" xr3:uid="{1069A277-A1E4-4BFD-ADFF-F58E1F95631D}" name="Pizza completa"/>
    <tableColumn id="7" xr3:uid="{1F36CCA9-53C0-4025-9A85-023C7283FF9B}" name="Sandwich de pavo"/>
    <tableColumn id="8" xr3:uid="{DEE0B577-79A6-41CC-9F9B-93923986E92A}" name="Chicken bake "/>
    <tableColumn id="9" xr3:uid="{901C35C2-F3D6-4363-A90D-A06755BE29B6}" name="Ensalada pollo"/>
    <tableColumn id="10" xr3:uid="{75304316-849E-4F10-A8BD-F4D041CFAA9C}" name="Smoothie mango"/>
    <tableColumn id="11" xr3:uid="{6C989207-92AA-4DA2-A852-467227EAA0A3}" name="Frape de café o mocha"/>
    <tableColumn id="12" xr3:uid="{BC770933-A837-42EB-AD6A-05F60250D2A7}" name="Galletota"/>
    <tableColumn id="13" xr3:uid="{E2AAFCC2-06B5-4A9C-B5B4-5DC36AE28B87}" name="Soda " dataDxfId="36"/>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C862B2-C8C1-4A00-B96A-6C29731A2A8F}" name="Productos_frec_tabla" displayName="Productos_frec_tabla" ref="B2:F301" totalsRowShown="0" headerRowDxfId="35" dataDxfId="34">
  <autoFilter ref="B2:F301" xr:uid="{00C862B2-C8C1-4A00-B96A-6C29731A2A8F}"/>
  <sortState xmlns:xlrd2="http://schemas.microsoft.com/office/spreadsheetml/2017/richdata2" ref="B3:F301">
    <sortCondition descending="1" ref="F2:F301"/>
  </sortState>
  <tableColumns count="5">
    <tableColumn id="1" xr3:uid="{93532F00-767E-4165-9108-BD9722A17E87}" name="Productoos" dataDxfId="33"/>
    <tableColumn id="2" xr3:uid="{2045620F-980C-4496-8377-67A352D3851B}" name="Frecuencia" dataDxfId="32">
      <calculatedColumnFormula>COUNTIF(Tabla1[Pedido],Productos_frec_tabla[[#This Row],[Productoos]])</calculatedColumnFormula>
    </tableColumn>
    <tableColumn id="3" xr3:uid="{3272A35D-45C5-459B-8A92-9FA1B4C76CD9}" name="Columna1" dataDxfId="31">
      <calculatedColumnFormula>PROPER(Productos_frec_tabla[[#This Row],[Productoos]])</calculatedColumnFormula>
    </tableColumn>
    <tableColumn id="5" xr3:uid="{12A7E94D-3F17-4701-8734-EBDFF97DA317}" name="Columna12" dataDxfId="30">
      <calculatedColumnFormula>PROPER(Productos_frec_tabla[[#This Row],[Productoos]])</calculatedColumnFormula>
    </tableColumn>
    <tableColumn id="6" xr3:uid="{1934F935-7F54-4787-B674-6924F2A9FCFD}" name="Columna13" dataDxfId="29">
      <calculatedColumnFormula>COUNTIF(Productos_frec_tabla[Columna1],Productos_frec_tabla[[#This Row],[Columna12]])</calculatedColumnFormula>
    </tableColumn>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1CF0FF2-C915-41B7-9B68-CD4A91E4C124}" name="Tabla10" displayName="Tabla10" ref="I2:W103" totalsRowShown="0" dataDxfId="28" tableBorderDxfId="27">
  <autoFilter ref="I2:W103" xr:uid="{11CF0FF2-C915-41B7-9B68-CD4A91E4C124}"/>
  <tableColumns count="15">
    <tableColumn id="1" xr3:uid="{933174BB-C493-41FC-8991-7BED45554041}" name="Original" dataDxfId="26"/>
    <tableColumn id="2" xr3:uid="{0174F3C8-2726-430E-BF2B-CB3EC885A091}" name="Columna1" dataDxfId="25"/>
    <tableColumn id="3" xr3:uid="{50DD1651-ED03-4422-9AFB-77E6E1CB9851}" name="Columna2" dataDxfId="24"/>
    <tableColumn id="4" xr3:uid="{B03A1DB2-E3F4-4A68-BD20-A3DE30C5B086}" name="Columna3" dataDxfId="23"/>
    <tableColumn id="5" xr3:uid="{F6FFFCF2-A77C-4AB1-8F08-81FCADE1DCAC}" name="Columna4" dataDxfId="22"/>
    <tableColumn id="6" xr3:uid="{7EE62EB8-B2DE-4E76-A5E8-AD18E9E82EFC}" name="Columna5" dataDxfId="21"/>
    <tableColumn id="7" xr3:uid="{20CDA9A3-44F1-46FA-86B1-DFAAF1413C4B}" name="Columna6" dataDxfId="20"/>
    <tableColumn id="8" xr3:uid="{CFE93B97-88D9-4D3C-B025-5FE17D295082}" name="Columna7" dataDxfId="19"/>
    <tableColumn id="9" xr3:uid="{92C9D137-39BA-4FD5-9C36-480B4D1A3BD5}" name="Columna8" dataDxfId="18"/>
    <tableColumn id="10" xr3:uid="{9A19EB2F-1F58-4749-A7C6-27B10A0FFCEF}" name="Columna9" dataDxfId="17"/>
    <tableColumn id="11" xr3:uid="{AD12E107-DB96-4C14-BADC-B7E1CF1A8AFD}" name="Columna10" dataDxfId="16"/>
    <tableColumn id="12" xr3:uid="{D7702DC1-4771-4F7C-8772-FFD594C0306F}" name="Columna11" dataDxfId="15"/>
    <tableColumn id="13" xr3:uid="{DB91A56B-0326-4B48-9489-729E4431ECE5}" name="Columna12" dataDxfId="14"/>
    <tableColumn id="14" xr3:uid="{CD321C03-FD74-4154-960E-363287ACCA09}" name="Columna13" dataDxfId="13"/>
    <tableColumn id="15" xr3:uid="{D6A91555-E204-4DFB-8D1F-3AC758500104}" name="Columna14" dataDxfId="12"/>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A1C68C3-F9F4-4026-AF74-89108E3DC149}" name="Productos_tabla" displayName="Productos_tabla" ref="Z2:Z276" totalsRowShown="0">
  <autoFilter ref="Z2:Z276" xr:uid="{2A1C68C3-F9F4-4026-AF74-89108E3DC149}"/>
  <tableColumns count="1">
    <tableColumn id="1" xr3:uid="{055BF47A-58DC-40F5-AC04-A0F10FEF0A66}" name="Productos"/>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166ACA6-CD79-4B1F-A050-EF169BBECA32}" name="Proveedores_tabla" displayName="Proveedores_tabla" ref="B2:D42" dataDxfId="11">
  <autoFilter ref="B2:D42" xr:uid="{0166ACA6-CD79-4B1F-A050-EF169BBECA32}"/>
  <sortState xmlns:xlrd2="http://schemas.microsoft.com/office/spreadsheetml/2017/richdata2" ref="B3:D35">
    <sortCondition descending="1" ref="D2:D35"/>
  </sortState>
  <tableColumns count="3">
    <tableColumn id="1" xr3:uid="{F0319EF0-47CF-4C95-9BED-82B00F0433D2}" name="Nombre" dataDxfId="10"/>
    <tableColumn id="3" xr3:uid="{9F1890F1-74E0-4D16-93E6-E01B68DE12D7}" name="Frecuencia" dataDxfId="9" totalsRowDxfId="8">
      <calculatedColumnFormula array="1">SUM(--ISNUMBER(SEARCH(Proveedores_tabla[[#This Row],[Nombre]],Tabla9[Locales])))</calculatedColumnFormula>
    </tableColumn>
    <tableColumn id="2" xr3:uid="{0829CF9A-938F-41C4-939E-A1D56EC69F87}" name="desde 25.02.25" dataDxfId="7" dataCellStyle="Moneda">
      <calculatedColumnFormula array="1">SumarPreciosRango('Base Pedidito'!G$105:G$205,Proveedores_tabla[[#This Row],[Nombre]])</calculatedColumnFormula>
    </tableColumn>
  </tableColumns>
  <tableStyleInfo name="TableStyleLight8"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2.vml"/><Relationship Id="rId7"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00E32-42EE-4E87-AEE8-9B1B52ADEF49}">
  <sheetPr codeName="Hoja4"/>
  <dimension ref="A1:K81"/>
  <sheetViews>
    <sheetView workbookViewId="0">
      <selection activeCell="H12" sqref="E11:H12"/>
    </sheetView>
  </sheetViews>
  <sheetFormatPr baseColWidth="10" defaultRowHeight="15" x14ac:dyDescent="0.25"/>
  <cols>
    <col min="1" max="1" width="12.5703125" customWidth="1"/>
    <col min="2" max="2" width="15.7109375" bestFit="1" customWidth="1"/>
    <col min="4" max="4" width="14.5703125" customWidth="1"/>
    <col min="5" max="5" width="10.42578125" customWidth="1"/>
    <col min="6" max="6" width="24.140625" customWidth="1"/>
    <col min="7" max="7" width="12.85546875" customWidth="1"/>
    <col min="8" max="8" width="11.5703125" customWidth="1"/>
    <col min="9" max="9" width="16.140625" customWidth="1"/>
    <col min="10" max="10" width="16.28515625" customWidth="1"/>
    <col min="11" max="11" width="24.140625" customWidth="1"/>
  </cols>
  <sheetData>
    <row r="1" spans="1:11" x14ac:dyDescent="0.25">
      <c r="A1" s="37">
        <v>312</v>
      </c>
    </row>
    <row r="2" spans="1:11" x14ac:dyDescent="0.25">
      <c r="F2" t="str">
        <f>IF(COUNTA(Comenzar_turno[Fecha])=COUNTA(Terminar_turno[pedidos]),"Todo en Orden","Falta Terminar el turno")</f>
        <v>Falta Terminar el turno</v>
      </c>
    </row>
    <row r="6" spans="1:11" x14ac:dyDescent="0.25">
      <c r="B6" t="s">
        <v>53</v>
      </c>
    </row>
    <row r="8" spans="1:11" x14ac:dyDescent="0.25">
      <c r="I8" s="102">
        <f>H38*0.75</f>
        <v>161.25</v>
      </c>
      <c r="J8" s="103">
        <f>H38*0.25</f>
        <v>53.75</v>
      </c>
    </row>
    <row r="9" spans="1:11" x14ac:dyDescent="0.25">
      <c r="F9">
        <f>SUM('Base Pedidito'!H227:H231)</f>
        <v>1411</v>
      </c>
    </row>
    <row r="10" spans="1:11" ht="17.25" customHeight="1" x14ac:dyDescent="0.25">
      <c r="A10" s="36" t="s">
        <v>43</v>
      </c>
      <c r="B10" s="36" t="s">
        <v>44</v>
      </c>
      <c r="C10" s="36" t="s">
        <v>45</v>
      </c>
      <c r="D10" s="36" t="s">
        <v>46</v>
      </c>
      <c r="E10" s="29" t="s">
        <v>47</v>
      </c>
      <c r="F10" s="29" t="s">
        <v>48</v>
      </c>
      <c r="G10" s="29" t="s">
        <v>49</v>
      </c>
      <c r="H10" s="29" t="s">
        <v>50</v>
      </c>
      <c r="I10" s="99" t="s">
        <v>1132</v>
      </c>
      <c r="J10" s="100" t="s">
        <v>1133</v>
      </c>
      <c r="K10" s="101" t="s">
        <v>1134</v>
      </c>
    </row>
    <row r="11" spans="1:11" x14ac:dyDescent="0.25">
      <c r="A11" s="36" t="s">
        <v>340</v>
      </c>
      <c r="B11" s="120">
        <v>45786.633356481485</v>
      </c>
      <c r="C11" s="36" t="s">
        <v>127</v>
      </c>
      <c r="D11" s="36">
        <v>700</v>
      </c>
      <c r="E11" s="29">
        <v>2</v>
      </c>
      <c r="F11" s="29">
        <v>234</v>
      </c>
      <c r="G11" s="29">
        <v>309</v>
      </c>
      <c r="H11" s="29">
        <v>75</v>
      </c>
      <c r="I11" s="99">
        <v>56.25</v>
      </c>
      <c r="J11" s="100">
        <v>18.75</v>
      </c>
      <c r="K11" s="101"/>
    </row>
    <row r="12" spans="1:11" x14ac:dyDescent="0.25">
      <c r="A12" s="36" t="s">
        <v>1645</v>
      </c>
      <c r="B12" s="120">
        <v>45785.74664351852</v>
      </c>
      <c r="C12" s="36" t="s">
        <v>173</v>
      </c>
      <c r="D12" s="36">
        <v>500</v>
      </c>
      <c r="E12" s="29">
        <v>0</v>
      </c>
      <c r="F12" s="29">
        <v>0</v>
      </c>
      <c r="G12" s="29"/>
      <c r="H12" s="29">
        <v>0</v>
      </c>
      <c r="I12" s="99">
        <v>0</v>
      </c>
      <c r="J12" s="100">
        <v>0</v>
      </c>
      <c r="K12" s="101"/>
    </row>
    <row r="13" spans="1:11" x14ac:dyDescent="0.25">
      <c r="A13" s="36" t="s">
        <v>1644</v>
      </c>
      <c r="B13" s="120">
        <v>45784.901886574073</v>
      </c>
      <c r="C13" s="36" t="s">
        <v>173</v>
      </c>
      <c r="D13" s="36">
        <v>500</v>
      </c>
      <c r="E13" s="29">
        <v>3</v>
      </c>
      <c r="F13" s="29">
        <v>892</v>
      </c>
      <c r="G13" s="29">
        <v>980</v>
      </c>
      <c r="H13" s="29">
        <v>90</v>
      </c>
      <c r="I13" s="99">
        <v>67.5</v>
      </c>
      <c r="J13" s="100">
        <v>22.5</v>
      </c>
      <c r="K13" s="101"/>
    </row>
    <row r="14" spans="1:11" x14ac:dyDescent="0.25">
      <c r="A14" s="36" t="s">
        <v>1624</v>
      </c>
      <c r="B14" s="120">
        <v>45782.461365740739</v>
      </c>
      <c r="C14" s="36" t="s">
        <v>127</v>
      </c>
      <c r="D14" s="36">
        <v>500</v>
      </c>
      <c r="E14" s="29">
        <v>6</v>
      </c>
      <c r="F14" s="29">
        <v>1208</v>
      </c>
      <c r="G14" s="29">
        <v>1428</v>
      </c>
      <c r="H14" s="29">
        <v>120</v>
      </c>
      <c r="I14" s="99">
        <v>90</v>
      </c>
      <c r="J14" s="100">
        <v>30</v>
      </c>
      <c r="K14" s="101">
        <v>90</v>
      </c>
    </row>
    <row r="15" spans="1:11" x14ac:dyDescent="0.25">
      <c r="A15" s="36" t="s">
        <v>1607</v>
      </c>
      <c r="B15" s="120">
        <v>45778.868391203701</v>
      </c>
      <c r="C15" s="36" t="s">
        <v>173</v>
      </c>
      <c r="D15" s="36">
        <v>500</v>
      </c>
      <c r="E15" s="29">
        <v>4</v>
      </c>
      <c r="F15" s="29">
        <v>754</v>
      </c>
      <c r="G15" s="29">
        <v>834</v>
      </c>
      <c r="H15" s="29">
        <v>90</v>
      </c>
      <c r="I15" s="99">
        <v>67.5</v>
      </c>
      <c r="J15" s="100">
        <v>22.5</v>
      </c>
      <c r="K15" s="101">
        <v>-110</v>
      </c>
    </row>
    <row r="16" spans="1:11" x14ac:dyDescent="0.25">
      <c r="A16" s="36" t="s">
        <v>1577</v>
      </c>
      <c r="B16" s="120">
        <v>45775.908599537041</v>
      </c>
      <c r="C16" s="36" t="s">
        <v>173</v>
      </c>
      <c r="D16" s="36">
        <v>500</v>
      </c>
      <c r="E16" s="29">
        <v>0</v>
      </c>
      <c r="F16" s="29"/>
      <c r="G16" s="29"/>
      <c r="H16" s="29"/>
      <c r="I16" s="99"/>
      <c r="J16" s="100"/>
      <c r="K16" s="101"/>
    </row>
    <row r="17" spans="1:11" x14ac:dyDescent="0.25">
      <c r="A17" s="36" t="s">
        <v>340</v>
      </c>
      <c r="B17" s="120">
        <v>45772.810891203706</v>
      </c>
      <c r="C17" s="36" t="s">
        <v>173</v>
      </c>
      <c r="D17" s="36">
        <v>500</v>
      </c>
      <c r="E17" s="29">
        <v>0</v>
      </c>
      <c r="F17" s="29"/>
      <c r="G17" s="29"/>
      <c r="H17" s="29"/>
      <c r="I17" s="99"/>
      <c r="J17" s="100"/>
      <c r="K17" s="101"/>
    </row>
    <row r="18" spans="1:11" x14ac:dyDescent="0.25">
      <c r="A18" s="36" t="s">
        <v>316</v>
      </c>
      <c r="B18" s="120">
        <v>45770.663113425922</v>
      </c>
      <c r="C18" s="36" t="s">
        <v>127</v>
      </c>
      <c r="D18" s="36">
        <v>500</v>
      </c>
      <c r="E18" s="29">
        <v>0</v>
      </c>
      <c r="F18" s="29">
        <v>0</v>
      </c>
      <c r="G18" s="29">
        <v>0</v>
      </c>
      <c r="H18">
        <v>0</v>
      </c>
      <c r="I18" s="99">
        <v>0</v>
      </c>
      <c r="J18" s="100">
        <v>0</v>
      </c>
      <c r="K18" s="101"/>
    </row>
    <row r="19" spans="1:11" x14ac:dyDescent="0.25">
      <c r="A19" s="36" t="s">
        <v>316</v>
      </c>
      <c r="B19" s="120">
        <v>45769.685057870367</v>
      </c>
      <c r="C19" s="36" t="s">
        <v>173</v>
      </c>
      <c r="D19" s="36">
        <v>500</v>
      </c>
      <c r="E19" s="29">
        <v>5</v>
      </c>
      <c r="F19" s="29">
        <v>1259</v>
      </c>
      <c r="G19" s="29">
        <v>1387</v>
      </c>
      <c r="H19">
        <v>136</v>
      </c>
      <c r="I19" s="99">
        <v>102</v>
      </c>
      <c r="J19" s="100">
        <v>34</v>
      </c>
      <c r="K19" s="101"/>
    </row>
    <row r="20" spans="1:11" x14ac:dyDescent="0.25">
      <c r="A20" s="36" t="s">
        <v>340</v>
      </c>
      <c r="B20" s="120">
        <v>45764.607615740744</v>
      </c>
      <c r="C20" s="36" t="s">
        <v>127</v>
      </c>
      <c r="D20" s="36">
        <v>500</v>
      </c>
      <c r="E20" s="29">
        <v>6</v>
      </c>
      <c r="F20" s="29">
        <v>1080</v>
      </c>
      <c r="G20" s="29">
        <v>1210</v>
      </c>
      <c r="H20">
        <v>140</v>
      </c>
      <c r="I20" s="99">
        <v>105</v>
      </c>
      <c r="J20" s="100">
        <v>35</v>
      </c>
      <c r="K20" s="101"/>
    </row>
    <row r="21" spans="1:11" x14ac:dyDescent="0.25">
      <c r="A21" s="36" t="s">
        <v>316</v>
      </c>
      <c r="B21" s="120">
        <v>45763.660682870373</v>
      </c>
      <c r="C21" s="36" t="s">
        <v>127</v>
      </c>
      <c r="D21" s="36">
        <v>500</v>
      </c>
      <c r="E21" s="29">
        <v>15</v>
      </c>
      <c r="F21" s="29">
        <v>3082</v>
      </c>
      <c r="G21" s="29">
        <v>3511</v>
      </c>
      <c r="H21">
        <v>429</v>
      </c>
      <c r="I21" s="99">
        <v>321.75</v>
      </c>
      <c r="J21" s="100">
        <v>107.25</v>
      </c>
      <c r="K21" s="101"/>
    </row>
    <row r="22" spans="1:11" x14ac:dyDescent="0.25">
      <c r="A22" s="36" t="s">
        <v>340</v>
      </c>
      <c r="B22" s="120">
        <v>45757.809930555559</v>
      </c>
      <c r="C22" s="36" t="s">
        <v>173</v>
      </c>
      <c r="D22" s="36">
        <v>500</v>
      </c>
      <c r="E22" s="29">
        <f>COUNTIF(Tabla1[Fecha y Hora],(Comenzar_turno[[#This Row],[Fecha]]))</f>
        <v>0</v>
      </c>
      <c r="F22" s="29">
        <v>127</v>
      </c>
      <c r="G22" s="29">
        <v>167</v>
      </c>
      <c r="H22">
        <v>40</v>
      </c>
      <c r="I22" s="99">
        <v>30</v>
      </c>
      <c r="J22" s="100">
        <v>10</v>
      </c>
      <c r="K22" s="101"/>
    </row>
    <row r="23" spans="1:11" x14ac:dyDescent="0.25">
      <c r="A23" s="36" t="s">
        <v>340</v>
      </c>
      <c r="B23" s="120">
        <v>45756</v>
      </c>
      <c r="C23" s="36" t="s">
        <v>173</v>
      </c>
      <c r="D23" s="36">
        <v>500</v>
      </c>
      <c r="E23" s="29">
        <f>COUNTIF(Tabla1[Fecha y Hora],(Comenzar_turno[[#This Row],[Fecha]]))</f>
        <v>8</v>
      </c>
      <c r="F23" s="29">
        <f>SUM('Base Pedidito'!H69:H76)</f>
        <v>1972</v>
      </c>
      <c r="G23" s="29">
        <f>SUM('Base Pedidito'!K69:K76)</f>
        <v>2187</v>
      </c>
      <c r="H23">
        <f>Terminar_turno[[#This Row],[Total + xtra]]-Terminar_turno[[#This Row],[Total real]]</f>
        <v>215</v>
      </c>
      <c r="I23" s="99"/>
      <c r="J23" s="100"/>
      <c r="K23" s="101"/>
    </row>
    <row r="24" spans="1:11" x14ac:dyDescent="0.25">
      <c r="A24" s="36" t="s">
        <v>1446</v>
      </c>
      <c r="B24" s="120">
        <v>45751.671342592592</v>
      </c>
      <c r="C24" s="36" t="s">
        <v>173</v>
      </c>
      <c r="D24" s="36">
        <v>500</v>
      </c>
      <c r="E24" s="29">
        <f>COUNTIF(Tabla1[Fecha y Hora],(Comenzar_turno[[#This Row],[Fecha]]))</f>
        <v>0</v>
      </c>
      <c r="F24" s="29">
        <v>981</v>
      </c>
      <c r="G24" s="29">
        <v>1101</v>
      </c>
      <c r="H24">
        <v>120</v>
      </c>
      <c r="I24" s="99">
        <v>90</v>
      </c>
      <c r="J24" s="100">
        <v>30</v>
      </c>
      <c r="K24" s="101"/>
    </row>
    <row r="25" spans="1:11" x14ac:dyDescent="0.25">
      <c r="A25" s="36" t="s">
        <v>340</v>
      </c>
      <c r="B25" s="120">
        <v>45749.932870370372</v>
      </c>
      <c r="C25" s="36" t="s">
        <v>181</v>
      </c>
      <c r="D25" s="36">
        <v>500</v>
      </c>
      <c r="E25" s="29">
        <f>COUNTIF(Tabla1[Fecha y Hora],(Comenzar_turno[[#This Row],[Fecha]]))</f>
        <v>0</v>
      </c>
      <c r="F25" s="29">
        <f>SUM('Base Pedidito'!H102:H103)</f>
        <v>765</v>
      </c>
      <c r="G25" s="29">
        <f>SUM('Base Pedidito'!K102:K103)</f>
        <v>805</v>
      </c>
      <c r="H25">
        <f>Terminar_turno[[#This Row],[Total + xtra]]-Terminar_turno[[#This Row],[Total real]]</f>
        <v>40</v>
      </c>
      <c r="I25" s="99">
        <f>Terminar_turno[[#This Row],[Ganancia ]]*0.75</f>
        <v>30</v>
      </c>
      <c r="J25" s="100">
        <f>Terminar_turno[[#This Row],[Ganancia ]]*0.25</f>
        <v>10</v>
      </c>
      <c r="K25" s="101"/>
    </row>
    <row r="26" spans="1:11" x14ac:dyDescent="0.25">
      <c r="A26" s="36"/>
      <c r="B26" s="120">
        <v>45741</v>
      </c>
      <c r="C26" s="36"/>
      <c r="D26" s="36">
        <v>500</v>
      </c>
      <c r="E26" s="29">
        <f>1</f>
        <v>1</v>
      </c>
      <c r="F26" s="29">
        <f>'Base Pedidito'!H104</f>
        <v>56</v>
      </c>
      <c r="G26" s="29">
        <f>'Base Pedidito'!K104</f>
        <v>94</v>
      </c>
      <c r="H26" s="29">
        <f>Terminar_turno[[#This Row],[Total + xtra]]-Terminar_turno[[#This Row],[Total real]]</f>
        <v>38</v>
      </c>
      <c r="I26" s="94">
        <f>Terminar_turno[[#This Row],[Ganancia ]]*0.75</f>
        <v>28.5</v>
      </c>
      <c r="J26" s="92">
        <f>Terminar_turno[[#This Row],[Ganancia ]]*0.25</f>
        <v>9.5</v>
      </c>
      <c r="K26" s="101"/>
    </row>
    <row r="27" spans="1:11" x14ac:dyDescent="0.25">
      <c r="A27" s="36"/>
      <c r="B27" s="120">
        <v>45737</v>
      </c>
      <c r="C27" s="36"/>
      <c r="D27" s="36">
        <v>500</v>
      </c>
      <c r="E27" s="50">
        <v>6</v>
      </c>
      <c r="F27" s="85">
        <v>525</v>
      </c>
      <c r="G27" s="85">
        <v>641</v>
      </c>
      <c r="H27" s="85">
        <v>126</v>
      </c>
      <c r="I27" s="94">
        <v>94.5</v>
      </c>
      <c r="J27" s="92">
        <v>31.5</v>
      </c>
      <c r="K27" s="98"/>
    </row>
    <row r="28" spans="1:11" x14ac:dyDescent="0.25">
      <c r="A28" s="89" t="s">
        <v>1020</v>
      </c>
      <c r="B28" s="84">
        <v>45736.550532407404</v>
      </c>
      <c r="C28" s="83" t="s">
        <v>127</v>
      </c>
      <c r="D28" s="77">
        <v>500</v>
      </c>
      <c r="E28" s="50">
        <v>4</v>
      </c>
      <c r="F28" s="85">
        <v>626</v>
      </c>
      <c r="G28" s="85">
        <v>736</v>
      </c>
      <c r="H28" s="85">
        <v>110</v>
      </c>
      <c r="I28" s="94">
        <v>82.5</v>
      </c>
      <c r="J28" s="92">
        <v>27.5</v>
      </c>
      <c r="K28" s="98"/>
    </row>
    <row r="29" spans="1:11" x14ac:dyDescent="0.25">
      <c r="A29" s="89" t="s">
        <v>58</v>
      </c>
      <c r="B29" s="84">
        <v>45735.582129629627</v>
      </c>
      <c r="C29" s="83" t="s">
        <v>127</v>
      </c>
      <c r="D29" s="77">
        <v>500</v>
      </c>
      <c r="E29" s="50">
        <v>5</v>
      </c>
      <c r="F29" s="85">
        <v>1131</v>
      </c>
      <c r="G29" s="85">
        <v>1321</v>
      </c>
      <c r="H29" s="85">
        <v>190</v>
      </c>
      <c r="I29" s="94">
        <v>142.5</v>
      </c>
      <c r="J29" s="92">
        <v>47.5</v>
      </c>
      <c r="K29" s="98"/>
    </row>
    <row r="30" spans="1:11" x14ac:dyDescent="0.25">
      <c r="A30" s="89" t="s">
        <v>1020</v>
      </c>
      <c r="B30" s="84">
        <v>45734.716458333336</v>
      </c>
      <c r="C30" s="83" t="s">
        <v>173</v>
      </c>
      <c r="D30" s="77">
        <v>500</v>
      </c>
      <c r="E30" s="50">
        <v>9</v>
      </c>
      <c r="F30" s="85">
        <v>1974</v>
      </c>
      <c r="G30" s="85">
        <v>2134</v>
      </c>
      <c r="H30" s="85">
        <v>170</v>
      </c>
      <c r="I30" s="94">
        <f>(Terminar_turno[[#This Row],[Ganancia ]]-Terminar_turno[[#This Row],[Workforce]])*0.75</f>
        <v>67.5</v>
      </c>
      <c r="J30" s="92">
        <f>(Terminar_turno[[#This Row],[Ganancia ]]-Terminar_turno[[#This Row],[Workforce]])*0.25</f>
        <v>22.5</v>
      </c>
      <c r="K30" s="98">
        <f>80</f>
        <v>80</v>
      </c>
    </row>
    <row r="31" spans="1:11" x14ac:dyDescent="0.25">
      <c r="A31" s="89" t="s">
        <v>58</v>
      </c>
      <c r="B31" s="84">
        <v>45733.45071759259</v>
      </c>
      <c r="C31" s="83" t="s">
        <v>127</v>
      </c>
      <c r="D31" s="77">
        <v>350</v>
      </c>
      <c r="E31" s="50">
        <v>6</v>
      </c>
      <c r="F31" s="85">
        <v>895</v>
      </c>
      <c r="G31" s="85">
        <v>1045</v>
      </c>
      <c r="H31" s="85">
        <v>150</v>
      </c>
      <c r="I31" s="94">
        <f>(Terminar_turno[[#This Row],[Ganancia ]]-Terminar_turno[[#This Row],[Workforce]])*0.75</f>
        <v>52.5</v>
      </c>
      <c r="J31" s="92">
        <f>(Terminar_turno[[#This Row],[Ganancia ]]-Terminar_turno[[#This Row],[Workforce]])*0.25</f>
        <v>17.5</v>
      </c>
      <c r="K31" s="98">
        <v>80</v>
      </c>
    </row>
    <row r="32" spans="1:11" x14ac:dyDescent="0.25">
      <c r="A32" s="89" t="s">
        <v>1294</v>
      </c>
      <c r="B32" s="84">
        <v>45730.600057870368</v>
      </c>
      <c r="C32" s="83" t="s">
        <v>127</v>
      </c>
      <c r="D32" s="77">
        <v>500</v>
      </c>
      <c r="E32">
        <v>2</v>
      </c>
      <c r="K32" s="98"/>
    </row>
    <row r="33" spans="1:11" x14ac:dyDescent="0.25">
      <c r="A33" s="89" t="s">
        <v>1294</v>
      </c>
      <c r="B33" s="84">
        <v>45729.487800925926</v>
      </c>
      <c r="C33" s="83" t="s">
        <v>127</v>
      </c>
      <c r="D33" s="77">
        <v>500</v>
      </c>
      <c r="E33" s="50">
        <v>2</v>
      </c>
      <c r="F33" s="85"/>
      <c r="G33" s="85"/>
      <c r="H33" s="85"/>
      <c r="I33" s="94"/>
      <c r="J33" s="92"/>
      <c r="K33" s="98"/>
    </row>
    <row r="34" spans="1:11" x14ac:dyDescent="0.25">
      <c r="A34" s="89" t="s">
        <v>1294</v>
      </c>
      <c r="B34" s="84">
        <v>45728.622395833336</v>
      </c>
      <c r="C34" s="83" t="s">
        <v>127</v>
      </c>
      <c r="D34" s="77">
        <v>400</v>
      </c>
      <c r="E34" s="50">
        <v>6</v>
      </c>
      <c r="F34" s="85">
        <v>895</v>
      </c>
      <c r="G34" s="85">
        <v>1045</v>
      </c>
      <c r="H34" s="85">
        <v>150</v>
      </c>
      <c r="I34" s="94">
        <v>0</v>
      </c>
      <c r="J34" s="92">
        <v>37.5</v>
      </c>
      <c r="K34" s="98"/>
    </row>
    <row r="35" spans="1:11" x14ac:dyDescent="0.25">
      <c r="A35" s="89" t="s">
        <v>58</v>
      </c>
      <c r="B35" s="84">
        <v>45727</v>
      </c>
      <c r="C35" s="83" t="s">
        <v>127</v>
      </c>
      <c r="D35" s="77">
        <v>500</v>
      </c>
      <c r="E35" s="50">
        <v>2</v>
      </c>
      <c r="F35" s="85">
        <v>183</v>
      </c>
      <c r="G35" s="85">
        <v>213</v>
      </c>
      <c r="H35" s="85">
        <v>20</v>
      </c>
      <c r="I35" s="94">
        <v>15</v>
      </c>
      <c r="J35" s="92">
        <v>5</v>
      </c>
      <c r="K35" s="98"/>
    </row>
    <row r="36" spans="1:11" x14ac:dyDescent="0.25">
      <c r="A36" s="89" t="s">
        <v>58</v>
      </c>
      <c r="B36" s="84">
        <v>45726.487708333334</v>
      </c>
      <c r="C36" s="83" t="s">
        <v>127</v>
      </c>
      <c r="D36" s="77">
        <v>500</v>
      </c>
      <c r="E36" s="50">
        <v>3</v>
      </c>
      <c r="F36" s="85">
        <f>SUM('Base Pedidito'!H147:H149)</f>
        <v>502</v>
      </c>
      <c r="G36" s="85">
        <f>SUM('Base Pedidito'!K147:K149)</f>
        <v>562</v>
      </c>
      <c r="H36" s="85">
        <f>Terminar_turno[[#This Row],[Total + xtra]]-Terminar_turno[[#This Row],[Total real]]</f>
        <v>60</v>
      </c>
      <c r="I36" s="94">
        <f>Terminar_turno[[#This Row],[Ganancia ]]*0.75</f>
        <v>45</v>
      </c>
      <c r="J36" s="92">
        <v>15</v>
      </c>
      <c r="K36" s="98"/>
    </row>
    <row r="37" spans="1:11" x14ac:dyDescent="0.25">
      <c r="A37" s="89" t="s">
        <v>1233</v>
      </c>
      <c r="B37" s="84">
        <v>45724.73064814815</v>
      </c>
      <c r="C37" s="83" t="s">
        <v>173</v>
      </c>
      <c r="D37" s="77">
        <v>500</v>
      </c>
      <c r="E37" s="50">
        <v>5</v>
      </c>
      <c r="F37" s="85">
        <v>1410</v>
      </c>
      <c r="G37" s="85">
        <v>1570</v>
      </c>
      <c r="H37" s="85">
        <v>162</v>
      </c>
      <c r="I37" s="94">
        <v>121.5</v>
      </c>
      <c r="J37" s="92">
        <v>40.5</v>
      </c>
      <c r="K37" s="98"/>
    </row>
    <row r="38" spans="1:11" x14ac:dyDescent="0.25">
      <c r="A38" s="89" t="s">
        <v>316</v>
      </c>
      <c r="B38" s="84">
        <v>45723.468171296299</v>
      </c>
      <c r="C38" s="83" t="s">
        <v>127</v>
      </c>
      <c r="D38" s="77">
        <v>400</v>
      </c>
      <c r="E38" s="50">
        <v>10</v>
      </c>
      <c r="F38" s="85">
        <v>1710</v>
      </c>
      <c r="G38" s="85">
        <v>2225</v>
      </c>
      <c r="H38" s="85">
        <v>215</v>
      </c>
      <c r="I38" s="94">
        <f>H39*0.75</f>
        <v>183.75</v>
      </c>
      <c r="J38" s="92">
        <f>H39*0.25</f>
        <v>61.25</v>
      </c>
      <c r="K38" s="98">
        <v>0</v>
      </c>
    </row>
    <row r="39" spans="1:11" x14ac:dyDescent="0.25">
      <c r="A39" s="89" t="s">
        <v>58</v>
      </c>
      <c r="B39" s="84">
        <v>45722.549942129626</v>
      </c>
      <c r="C39" s="83" t="s">
        <v>127</v>
      </c>
      <c r="D39" s="77">
        <v>500</v>
      </c>
      <c r="E39" s="50">
        <v>6</v>
      </c>
      <c r="F39" s="85">
        <v>503</v>
      </c>
      <c r="G39" s="85">
        <v>748</v>
      </c>
      <c r="H39" s="85">
        <v>245</v>
      </c>
      <c r="I39" s="94">
        <f>H40*0.75</f>
        <v>127.5</v>
      </c>
      <c r="J39" s="92">
        <f>H40*0.25</f>
        <v>42.5</v>
      </c>
      <c r="K39" s="95">
        <v>0</v>
      </c>
    </row>
    <row r="40" spans="1:11" x14ac:dyDescent="0.25">
      <c r="A40" s="89" t="s">
        <v>316</v>
      </c>
      <c r="B40" s="84">
        <v>45721.680879629632</v>
      </c>
      <c r="C40" s="83" t="s">
        <v>173</v>
      </c>
      <c r="D40" s="77">
        <v>500</v>
      </c>
      <c r="E40" s="50">
        <v>8</v>
      </c>
      <c r="F40" s="85">
        <v>795</v>
      </c>
      <c r="G40" s="85">
        <v>955</v>
      </c>
      <c r="H40" s="85">
        <v>170</v>
      </c>
      <c r="I40" s="96">
        <f>Terminar_turno[[#This Row],[Ganancia ]]*0.75</f>
        <v>127.5</v>
      </c>
      <c r="J40" s="93" t="e">
        <f>CORTE!#REF!*0.25</f>
        <v>#REF!</v>
      </c>
      <c r="K40" s="97">
        <v>80</v>
      </c>
    </row>
    <row r="41" spans="1:11" x14ac:dyDescent="0.25">
      <c r="A41" s="89" t="s">
        <v>316</v>
      </c>
      <c r="B41" s="84">
        <v>45720.546782407408</v>
      </c>
      <c r="C41" s="83" t="s">
        <v>127</v>
      </c>
      <c r="D41" s="77">
        <v>400</v>
      </c>
      <c r="E41" s="50">
        <v>3</v>
      </c>
      <c r="F41" s="85">
        <v>610</v>
      </c>
      <c r="G41" s="85">
        <v>685</v>
      </c>
      <c r="H41" s="85">
        <v>75</v>
      </c>
    </row>
    <row r="42" spans="1:11" x14ac:dyDescent="0.25">
      <c r="A42" s="89" t="s">
        <v>1131</v>
      </c>
      <c r="B42" s="84">
        <v>45719.544988425929</v>
      </c>
      <c r="C42" s="83" t="s">
        <v>173</v>
      </c>
      <c r="D42" s="77">
        <v>500</v>
      </c>
      <c r="E42" s="50">
        <v>3</v>
      </c>
      <c r="F42" s="85">
        <v>610</v>
      </c>
      <c r="G42" s="85">
        <v>685</v>
      </c>
      <c r="H42" s="85">
        <v>75</v>
      </c>
    </row>
    <row r="43" spans="1:11" x14ac:dyDescent="0.25">
      <c r="A43" s="83" t="s">
        <v>1114</v>
      </c>
      <c r="B43" s="84">
        <v>45719.544988425929</v>
      </c>
      <c r="C43" s="83" t="s">
        <v>127</v>
      </c>
      <c r="D43" s="83">
        <v>500</v>
      </c>
      <c r="E43" s="50">
        <v>2</v>
      </c>
      <c r="F43" s="85">
        <f>SUM('Base Pedidito'!H182:H183)</f>
        <v>325</v>
      </c>
      <c r="G43" s="85">
        <f>SUM('Base Pedidito'!K182:K183)</f>
        <v>385</v>
      </c>
      <c r="H43" s="85">
        <f>Terminar_turno[[#This Row],[Total + xtra]]-Terminar_turno[[#This Row],[Total real]]</f>
        <v>60</v>
      </c>
    </row>
    <row r="44" spans="1:11" x14ac:dyDescent="0.25">
      <c r="A44" s="83" t="s">
        <v>340</v>
      </c>
      <c r="B44" s="84">
        <v>45716.786493055559</v>
      </c>
      <c r="C44" s="83" t="s">
        <v>173</v>
      </c>
      <c r="D44" s="83">
        <v>500</v>
      </c>
      <c r="E44" s="50">
        <v>3</v>
      </c>
      <c r="F44" s="85">
        <v>1175</v>
      </c>
      <c r="G44" s="85">
        <v>1523</v>
      </c>
      <c r="H44" s="85">
        <v>360</v>
      </c>
    </row>
    <row r="45" spans="1:11" x14ac:dyDescent="0.25">
      <c r="A45" s="83" t="s">
        <v>1040</v>
      </c>
      <c r="B45" s="84">
        <v>45716.475405092591</v>
      </c>
      <c r="C45" s="83" t="s">
        <v>127</v>
      </c>
      <c r="D45" s="83">
        <v>500</v>
      </c>
      <c r="E45" s="50">
        <v>3</v>
      </c>
      <c r="F45" s="85">
        <v>420</v>
      </c>
      <c r="G45" s="85">
        <v>485</v>
      </c>
      <c r="H45" s="85">
        <v>65</v>
      </c>
    </row>
    <row r="46" spans="1:11" x14ac:dyDescent="0.25">
      <c r="A46" s="83" t="s">
        <v>340</v>
      </c>
      <c r="B46" s="84">
        <v>45715.888287037036</v>
      </c>
      <c r="C46" s="83" t="s">
        <v>173</v>
      </c>
      <c r="D46" s="83">
        <v>500</v>
      </c>
      <c r="E46" s="50">
        <v>8</v>
      </c>
      <c r="F46" s="85">
        <v>833</v>
      </c>
      <c r="G46" s="85">
        <v>1015</v>
      </c>
      <c r="H46" s="85">
        <v>167</v>
      </c>
    </row>
    <row r="47" spans="1:11" x14ac:dyDescent="0.25">
      <c r="A47" s="83" t="s">
        <v>1020</v>
      </c>
      <c r="B47" s="84">
        <v>45714.552754629629</v>
      </c>
      <c r="C47" s="83" t="s">
        <v>127</v>
      </c>
      <c r="D47" s="83">
        <v>500</v>
      </c>
      <c r="E47" s="50">
        <v>4</v>
      </c>
      <c r="F47" s="85">
        <f>SUM('Base Pedidito'!H222:H225)</f>
        <v>1460</v>
      </c>
      <c r="G47" s="85">
        <f>SUM('Base Pedidito'!K222:K225)</f>
        <v>1545</v>
      </c>
      <c r="H47" s="85">
        <f>Terminar_turno[[#This Row],[Total + xtra]]-Terminar_turno[[#This Row],[Total real]]</f>
        <v>85</v>
      </c>
    </row>
    <row r="48" spans="1:11" x14ac:dyDescent="0.25">
      <c r="A48" s="83" t="s">
        <v>1021</v>
      </c>
      <c r="B48" s="84">
        <v>45713.70988425926</v>
      </c>
      <c r="C48" s="83" t="s">
        <v>173</v>
      </c>
      <c r="D48" s="83">
        <v>500</v>
      </c>
      <c r="E48" s="50">
        <v>1</v>
      </c>
      <c r="F48" s="85">
        <f>SUM('Base Pedidito'!H226)</f>
        <v>210</v>
      </c>
      <c r="G48" s="85">
        <f>'Base Pedidito'!K226</f>
        <v>235</v>
      </c>
      <c r="H48" s="85">
        <f>Terminar_turno[[#This Row],[Total + xtra]]-Terminar_turno[[#This Row],[Total real]]</f>
        <v>25</v>
      </c>
    </row>
    <row r="49" spans="1:8" x14ac:dyDescent="0.25">
      <c r="A49" s="83" t="s">
        <v>316</v>
      </c>
      <c r="B49" s="84">
        <v>45713.427546296298</v>
      </c>
      <c r="C49" s="83" t="s">
        <v>127</v>
      </c>
      <c r="D49" s="83">
        <v>500</v>
      </c>
      <c r="E49" s="50">
        <v>5</v>
      </c>
      <c r="F49" s="85">
        <v>0</v>
      </c>
      <c r="G49" s="85">
        <v>20</v>
      </c>
      <c r="H49" s="85">
        <v>578</v>
      </c>
    </row>
    <row r="50" spans="1:8" x14ac:dyDescent="0.25">
      <c r="A50" s="83" t="s">
        <v>319</v>
      </c>
      <c r="B50" s="84">
        <v>45712.889988425923</v>
      </c>
      <c r="C50" s="83" t="s">
        <v>173</v>
      </c>
      <c r="D50" s="83">
        <v>500</v>
      </c>
      <c r="E50" s="50">
        <v>4</v>
      </c>
      <c r="F50" s="50">
        <f>SUM('[1]Base Pedidito'!H18:H22)</f>
        <v>1028</v>
      </c>
      <c r="G50" s="50">
        <f>SUM('[1]Base Pedidito'!K18:K22)</f>
        <v>1128</v>
      </c>
      <c r="H50" s="50">
        <f>Terminar_turno[[#This Row],[Total + xtra]]-Terminar_turno[[#This Row],[Total real]]</f>
        <v>100</v>
      </c>
    </row>
    <row r="51" spans="1:8" x14ac:dyDescent="0.25">
      <c r="A51" s="83" t="s">
        <v>1022</v>
      </c>
      <c r="B51" s="84">
        <v>45712.566967592589</v>
      </c>
      <c r="C51" s="83" t="s">
        <v>127</v>
      </c>
      <c r="D51" s="83">
        <v>500</v>
      </c>
      <c r="E51" s="50">
        <v>8</v>
      </c>
      <c r="F51" s="50">
        <f>SUM('Base Pedidito'!H213:H218)</f>
        <v>1211</v>
      </c>
      <c r="G51" s="50">
        <f>SUM('Base Pedidito'!K213:K220)</f>
        <v>2394</v>
      </c>
      <c r="H51" s="50">
        <f>Terminar_turno[[#This Row],[Total + xtra]]-Terminar_turno[[#This Row],[Total real]]</f>
        <v>1183</v>
      </c>
    </row>
    <row r="52" spans="1:8" x14ac:dyDescent="0.25">
      <c r="A52" s="83" t="s">
        <v>58</v>
      </c>
      <c r="B52" s="84">
        <v>45710.680509259262</v>
      </c>
      <c r="C52" s="83" t="s">
        <v>173</v>
      </c>
      <c r="D52" s="83">
        <v>500</v>
      </c>
      <c r="E52" s="50">
        <v>1</v>
      </c>
      <c r="F52" s="50">
        <v>0</v>
      </c>
      <c r="G52" s="50"/>
      <c r="H52" s="50">
        <v>0</v>
      </c>
    </row>
    <row r="53" spans="1:8" x14ac:dyDescent="0.25">
      <c r="A53" s="77" t="s">
        <v>58</v>
      </c>
      <c r="B53" s="78">
        <v>45709.811342592591</v>
      </c>
      <c r="C53" s="77" t="s">
        <v>173</v>
      </c>
      <c r="D53" s="77">
        <v>500</v>
      </c>
      <c r="E53" s="50">
        <v>5</v>
      </c>
      <c r="F53" s="50">
        <v>1670</v>
      </c>
      <c r="G53" s="50">
        <v>1780</v>
      </c>
      <c r="H53" s="50">
        <v>110</v>
      </c>
    </row>
    <row r="54" spans="1:8" x14ac:dyDescent="0.25">
      <c r="A54" s="77" t="s">
        <v>58</v>
      </c>
      <c r="B54" s="78">
        <v>45709</v>
      </c>
      <c r="C54" s="77" t="s">
        <v>127</v>
      </c>
      <c r="D54" s="77">
        <v>500</v>
      </c>
      <c r="E54" s="50">
        <v>3</v>
      </c>
      <c r="F54" s="50">
        <v>1224</v>
      </c>
      <c r="G54" s="50">
        <v>1324</v>
      </c>
      <c r="H54" s="50">
        <v>100</v>
      </c>
    </row>
    <row r="55" spans="1:8" x14ac:dyDescent="0.25">
      <c r="A55" s="77" t="s">
        <v>340</v>
      </c>
      <c r="B55" s="78">
        <v>45708.719363425924</v>
      </c>
      <c r="C55" s="77" t="s">
        <v>173</v>
      </c>
      <c r="D55" s="77">
        <v>500</v>
      </c>
      <c r="E55" s="50">
        <v>2</v>
      </c>
      <c r="F55" s="50">
        <f>SUM('Base Pedidito'!H230:H231)</f>
        <v>187</v>
      </c>
      <c r="G55" s="50">
        <f>SUM('Base Pedidito'!K230:K231)</f>
        <v>227</v>
      </c>
      <c r="H55" s="50">
        <f>Terminar_turno[[#This Row],[Total + xtra]]-Terminar_turno[[#This Row],[Total real]]</f>
        <v>40</v>
      </c>
    </row>
    <row r="56" spans="1:8" x14ac:dyDescent="0.25">
      <c r="A56" s="77" t="s">
        <v>58</v>
      </c>
      <c r="B56" s="78">
        <v>45708.719363425924</v>
      </c>
      <c r="C56" s="77" t="s">
        <v>127</v>
      </c>
      <c r="D56" s="77">
        <v>500</v>
      </c>
      <c r="E56" s="50">
        <v>4</v>
      </c>
      <c r="F56" s="50">
        <v>779</v>
      </c>
      <c r="G56" s="50">
        <v>864</v>
      </c>
      <c r="H56" s="50">
        <v>87</v>
      </c>
    </row>
    <row r="57" spans="1:8" x14ac:dyDescent="0.25">
      <c r="A57" s="77" t="s">
        <v>58</v>
      </c>
      <c r="B57" s="78">
        <v>45707.746747685182</v>
      </c>
      <c r="C57" s="77" t="s">
        <v>173</v>
      </c>
      <c r="D57" s="77">
        <v>500</v>
      </c>
      <c r="E57" s="50">
        <v>0</v>
      </c>
      <c r="F57" s="50">
        <v>0</v>
      </c>
      <c r="G57" s="50"/>
      <c r="H57" s="50">
        <v>0</v>
      </c>
    </row>
    <row r="58" spans="1:8" x14ac:dyDescent="0.25">
      <c r="A58" s="77" t="s">
        <v>58</v>
      </c>
      <c r="B58" s="78">
        <v>45707.592847222222</v>
      </c>
      <c r="C58" s="77" t="s">
        <v>127</v>
      </c>
      <c r="D58" s="77">
        <v>500</v>
      </c>
      <c r="E58" s="50">
        <v>11</v>
      </c>
      <c r="F58" s="50">
        <v>2265</v>
      </c>
      <c r="G58" s="50">
        <v>2555</v>
      </c>
      <c r="H58" s="50">
        <v>320</v>
      </c>
    </row>
    <row r="59" spans="1:8" x14ac:dyDescent="0.25">
      <c r="A59" s="77" t="s">
        <v>141</v>
      </c>
      <c r="B59" s="78">
        <v>45706.581041666665</v>
      </c>
      <c r="C59" s="77" t="s">
        <v>173</v>
      </c>
      <c r="D59" s="77">
        <v>500</v>
      </c>
      <c r="E59">
        <v>3</v>
      </c>
      <c r="F59">
        <f>SUM('[2]Base Pedidito'!G22:G24)</f>
        <v>842</v>
      </c>
      <c r="G59">
        <f>SUM('[2]Base Pedidito'!J22:J24)</f>
        <v>932</v>
      </c>
      <c r="H59">
        <f>Terminar_turno[[#This Row],[Total + xtra]]-Terminar_turno[[#This Row],[Total real]]</f>
        <v>90</v>
      </c>
    </row>
    <row r="60" spans="1:8" x14ac:dyDescent="0.25">
      <c r="A60" s="77" t="s">
        <v>316</v>
      </c>
      <c r="B60" s="78">
        <v>45706.581041666665</v>
      </c>
      <c r="C60" s="77" t="s">
        <v>127</v>
      </c>
      <c r="D60" s="77">
        <v>500</v>
      </c>
      <c r="E60" s="50">
        <v>3</v>
      </c>
      <c r="F60" s="50">
        <v>249</v>
      </c>
      <c r="G60" s="50">
        <v>322</v>
      </c>
      <c r="H60" s="50">
        <v>73</v>
      </c>
    </row>
    <row r="61" spans="1:8" x14ac:dyDescent="0.25">
      <c r="A61" s="77" t="s">
        <v>317</v>
      </c>
      <c r="B61" s="78">
        <v>45705.679571759261</v>
      </c>
      <c r="C61" s="77" t="s">
        <v>173</v>
      </c>
      <c r="D61" s="77">
        <v>500</v>
      </c>
      <c r="E61" s="50">
        <v>7</v>
      </c>
      <c r="F61" s="50">
        <f>SUM('[3]Base Pedidito'!G13:G19)</f>
        <v>1047</v>
      </c>
      <c r="G61" s="50">
        <f>SUM('[3]Base Pedidito'!J13:J19)</f>
        <v>1320</v>
      </c>
      <c r="H61" s="50">
        <f>Terminar_turno[[#This Row],[Total + xtra]]-Terminar_turno[[#This Row],[Total real]]</f>
        <v>273</v>
      </c>
    </row>
    <row r="62" spans="1:8" x14ac:dyDescent="0.25">
      <c r="A62" s="77" t="s">
        <v>318</v>
      </c>
      <c r="B62" s="78">
        <v>45705.638645833336</v>
      </c>
      <c r="C62" s="77" t="s">
        <v>127</v>
      </c>
      <c r="D62" s="77">
        <v>500</v>
      </c>
      <c r="E62">
        <v>1</v>
      </c>
      <c r="F62">
        <v>0</v>
      </c>
      <c r="H62">
        <v>0</v>
      </c>
    </row>
    <row r="63" spans="1:8" x14ac:dyDescent="0.25">
      <c r="A63" s="77" t="s">
        <v>58</v>
      </c>
      <c r="B63" s="78">
        <v>45702.693032407406</v>
      </c>
      <c r="C63" s="77" t="s">
        <v>173</v>
      </c>
      <c r="D63" s="77">
        <v>500</v>
      </c>
      <c r="E63">
        <v>4</v>
      </c>
      <c r="F63">
        <v>308</v>
      </c>
      <c r="G63">
        <v>417</v>
      </c>
      <c r="H63">
        <v>109</v>
      </c>
    </row>
    <row r="64" spans="1:8" x14ac:dyDescent="0.25">
      <c r="A64" s="77" t="s">
        <v>316</v>
      </c>
      <c r="B64" s="78">
        <v>45702.489618055559</v>
      </c>
      <c r="C64" s="77" t="s">
        <v>127</v>
      </c>
      <c r="D64" s="77">
        <v>500</v>
      </c>
      <c r="E64">
        <v>4</v>
      </c>
      <c r="F64">
        <v>488</v>
      </c>
      <c r="G64">
        <v>620</v>
      </c>
      <c r="H64">
        <v>146</v>
      </c>
    </row>
    <row r="65" spans="1:8" x14ac:dyDescent="0.25">
      <c r="A65" s="77" t="s">
        <v>319</v>
      </c>
      <c r="B65" s="78">
        <v>45701.739606481482</v>
      </c>
      <c r="C65" s="77" t="s">
        <v>173</v>
      </c>
      <c r="D65" s="77">
        <v>500</v>
      </c>
      <c r="E65">
        <v>5</v>
      </c>
      <c r="F65">
        <f>SUM('Base Pedidito'!H258:H262)</f>
        <v>448</v>
      </c>
      <c r="G65">
        <f>SUM('Base Pedidito'!K258:K262)</f>
        <v>578</v>
      </c>
      <c r="H65">
        <f>Terminar_turno[[#This Row],[Total + xtra]]-Terminar_turno[[#This Row],[Total real]]</f>
        <v>130</v>
      </c>
    </row>
    <row r="66" spans="1:8" x14ac:dyDescent="0.25">
      <c r="A66" s="77" t="s">
        <v>320</v>
      </c>
      <c r="B66" s="78">
        <v>45700.76284722222</v>
      </c>
      <c r="C66" s="77" t="s">
        <v>173</v>
      </c>
      <c r="D66" s="77">
        <v>250</v>
      </c>
      <c r="E66">
        <v>0</v>
      </c>
    </row>
    <row r="67" spans="1:8" x14ac:dyDescent="0.25">
      <c r="A67" s="77" t="s">
        <v>321</v>
      </c>
      <c r="B67" s="78">
        <v>45699.755462962959</v>
      </c>
      <c r="C67" s="77" t="s">
        <v>173</v>
      </c>
      <c r="D67" s="77">
        <v>200</v>
      </c>
      <c r="E67">
        <v>0</v>
      </c>
    </row>
    <row r="68" spans="1:8" x14ac:dyDescent="0.25">
      <c r="A68" s="77" t="s">
        <v>318</v>
      </c>
      <c r="B68" s="78">
        <v>45699.579826388886</v>
      </c>
      <c r="C68" s="77" t="s">
        <v>127</v>
      </c>
      <c r="D68" s="77">
        <v>300</v>
      </c>
      <c r="E68">
        <v>3</v>
      </c>
      <c r="F68">
        <v>115</v>
      </c>
      <c r="G68">
        <v>187</v>
      </c>
      <c r="H68">
        <v>172</v>
      </c>
    </row>
    <row r="69" spans="1:8" x14ac:dyDescent="0.25">
      <c r="A69" s="77" t="s">
        <v>197</v>
      </c>
      <c r="B69" s="78">
        <v>45698.774976851855</v>
      </c>
      <c r="C69" s="77" t="s">
        <v>173</v>
      </c>
      <c r="D69" s="77">
        <v>200</v>
      </c>
      <c r="E69">
        <v>7</v>
      </c>
    </row>
    <row r="70" spans="1:8" x14ac:dyDescent="0.25">
      <c r="A70" s="77" t="s">
        <v>182</v>
      </c>
      <c r="B70" s="78">
        <v>45695.703611111108</v>
      </c>
      <c r="C70" s="77" t="s">
        <v>173</v>
      </c>
      <c r="D70" s="77">
        <v>200</v>
      </c>
      <c r="E70">
        <v>0</v>
      </c>
    </row>
    <row r="71" spans="1:8" x14ac:dyDescent="0.25">
      <c r="A71" s="77" t="s">
        <v>58</v>
      </c>
      <c r="B71" s="78">
        <v>45694</v>
      </c>
      <c r="C71" s="77" t="s">
        <v>181</v>
      </c>
      <c r="D71" s="77">
        <v>400</v>
      </c>
      <c r="E71">
        <v>0</v>
      </c>
    </row>
    <row r="72" spans="1:8" x14ac:dyDescent="0.25">
      <c r="A72" s="77" t="s">
        <v>58</v>
      </c>
      <c r="B72" s="78">
        <v>45693</v>
      </c>
      <c r="C72" s="77" t="s">
        <v>173</v>
      </c>
      <c r="D72" s="77">
        <v>200</v>
      </c>
      <c r="E72">
        <v>2</v>
      </c>
    </row>
    <row r="73" spans="1:8" x14ac:dyDescent="0.25">
      <c r="A73" s="77" t="s">
        <v>58</v>
      </c>
      <c r="B73" s="78">
        <v>45691</v>
      </c>
      <c r="C73" s="77" t="s">
        <v>155</v>
      </c>
      <c r="D73" s="77">
        <v>0</v>
      </c>
      <c r="E73">
        <v>0</v>
      </c>
    </row>
    <row r="74" spans="1:8" x14ac:dyDescent="0.25">
      <c r="A74" s="77" t="s">
        <v>141</v>
      </c>
      <c r="B74" s="78">
        <v>45688</v>
      </c>
      <c r="C74" s="77" t="s">
        <v>59</v>
      </c>
      <c r="D74" s="77">
        <v>222</v>
      </c>
      <c r="E74">
        <v>5</v>
      </c>
      <c r="F74">
        <f>SUM('[2]Base Pedidito'!G69:G73)</f>
        <v>700</v>
      </c>
      <c r="G74">
        <f>SUM('[2]Base Pedidito'!J69:J73)</f>
        <v>780</v>
      </c>
      <c r="H74">
        <f>G74-F74</f>
        <v>80</v>
      </c>
    </row>
    <row r="75" spans="1:8" x14ac:dyDescent="0.25">
      <c r="A75" s="30" t="s">
        <v>51</v>
      </c>
      <c r="B75" s="34">
        <v>45688</v>
      </c>
      <c r="C75" s="32" t="s">
        <v>127</v>
      </c>
      <c r="D75" s="33"/>
      <c r="E75">
        <v>4</v>
      </c>
      <c r="F75">
        <f>SUM('[2]Base Pedidito'!G74:G77)</f>
        <v>327</v>
      </c>
      <c r="G75">
        <f>SUM('[2]Base Pedidito'!J74:J77)</f>
        <v>445</v>
      </c>
      <c r="H75">
        <f>G75-F75</f>
        <v>118</v>
      </c>
    </row>
    <row r="76" spans="1:8" x14ac:dyDescent="0.25">
      <c r="A76" s="30" t="s">
        <v>141</v>
      </c>
      <c r="B76" s="34">
        <v>45687</v>
      </c>
      <c r="C76" s="32" t="s">
        <v>59</v>
      </c>
      <c r="D76" s="35" t="e">
        <f>D77+#REF!</f>
        <v>#REF!</v>
      </c>
      <c r="E76">
        <v>4</v>
      </c>
      <c r="F76">
        <v>411</v>
      </c>
      <c r="G76">
        <v>528</v>
      </c>
      <c r="H76">
        <v>117</v>
      </c>
    </row>
    <row r="77" spans="1:8" x14ac:dyDescent="0.25">
      <c r="A77" s="30" t="s">
        <v>51</v>
      </c>
      <c r="B77" s="34">
        <v>45687</v>
      </c>
      <c r="C77" s="32" t="s">
        <v>127</v>
      </c>
      <c r="D77" s="33">
        <v>145</v>
      </c>
      <c r="E77">
        <v>7</v>
      </c>
    </row>
    <row r="78" spans="1:8" x14ac:dyDescent="0.25">
      <c r="A78" s="30"/>
      <c r="B78" s="31">
        <v>45686</v>
      </c>
      <c r="C78" s="32"/>
      <c r="D78" s="33"/>
      <c r="E78">
        <v>2</v>
      </c>
      <c r="F78">
        <f>SUM('[2]Base Pedidito'!G84:G85)</f>
        <v>213</v>
      </c>
      <c r="G78">
        <f>SUM('[2]Base Pedidito'!J84:J85,'[2]Base Pedidito'!H84:H85)</f>
        <v>280</v>
      </c>
      <c r="H78">
        <f>G78-F78</f>
        <v>67</v>
      </c>
    </row>
    <row r="79" spans="1:8" x14ac:dyDescent="0.25">
      <c r="A79" s="30" t="s">
        <v>51</v>
      </c>
      <c r="B79" s="31">
        <v>45686</v>
      </c>
      <c r="C79" s="32" t="s">
        <v>127</v>
      </c>
      <c r="D79" s="33">
        <v>100</v>
      </c>
      <c r="E79">
        <v>2</v>
      </c>
      <c r="F79" t="e">
        <f>#REF!+#REF!</f>
        <v>#REF!</v>
      </c>
      <c r="G79" t="e">
        <f>F79+127</f>
        <v>#REF!</v>
      </c>
      <c r="H79" t="e">
        <f>G79-F79</f>
        <v>#REF!</v>
      </c>
    </row>
    <row r="80" spans="1:8" x14ac:dyDescent="0.25">
      <c r="A80" s="30" t="s">
        <v>58</v>
      </c>
      <c r="B80" s="31">
        <v>374403</v>
      </c>
      <c r="C80" s="32" t="s">
        <v>59</v>
      </c>
      <c r="D80" s="33">
        <v>0</v>
      </c>
      <c r="E80">
        <v>4</v>
      </c>
      <c r="F80">
        <f>SUM('[2]Base Pedidito'!G88:G91)</f>
        <v>730</v>
      </c>
      <c r="G80">
        <f>SUM('[2]Base Pedidito'!J88:J91)</f>
        <v>930</v>
      </c>
      <c r="H80">
        <f>G80-F80</f>
        <v>200</v>
      </c>
    </row>
    <row r="81" spans="1:4" x14ac:dyDescent="0.25">
      <c r="A81" s="30" t="s">
        <v>51</v>
      </c>
      <c r="B81" s="31">
        <v>45685</v>
      </c>
      <c r="C81" s="32" t="s">
        <v>52</v>
      </c>
      <c r="D81" s="33">
        <v>0</v>
      </c>
    </row>
  </sheetData>
  <phoneticPr fontId="9" type="noConversion"/>
  <conditionalFormatting sqref="F2">
    <cfRule type="cellIs" dxfId="5" priority="1" operator="equal">
      <formula>"Falta Terminar el turno"</formula>
    </cfRule>
    <cfRule type="cellIs" dxfId="4" priority="2" operator="equal">
      <formula>"Todo en Orden"</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RTE_Botón1_Haga_clic_en">
                <anchor moveWithCells="1" sizeWithCells="1">
                  <from>
                    <xdr:col>1</xdr:col>
                    <xdr:colOff>9525</xdr:colOff>
                    <xdr:row>3</xdr:row>
                    <xdr:rowOff>38100</xdr:rowOff>
                  </from>
                  <to>
                    <xdr:col>2</xdr:col>
                    <xdr:colOff>247650</xdr:colOff>
                    <xdr:row>5</xdr:row>
                    <xdr:rowOff>0</xdr:rowOff>
                  </to>
                </anchor>
              </controlPr>
            </control>
          </mc:Choice>
        </mc:AlternateContent>
        <mc:AlternateContent xmlns:mc="http://schemas.openxmlformats.org/markup-compatibility/2006">
          <mc:Choice Requires="x14">
            <control shapeId="9218" r:id="rId5" name="Button 2">
              <controlPr defaultSize="0" print="0" autoFill="0" autoPict="0" macro="[0]!CORTE_Botón2_Haga_clic_en">
                <anchor moveWithCells="1">
                  <from>
                    <xdr:col>6</xdr:col>
                    <xdr:colOff>9525</xdr:colOff>
                    <xdr:row>3</xdr:row>
                    <xdr:rowOff>9525</xdr:rowOff>
                  </from>
                  <to>
                    <xdr:col>7</xdr:col>
                    <xdr:colOff>485775</xdr:colOff>
                    <xdr:row>4</xdr:row>
                    <xdr:rowOff>180975</xdr:rowOff>
                  </to>
                </anchor>
              </controlPr>
            </control>
          </mc:Choice>
        </mc:AlternateContent>
      </controls>
    </mc:Choice>
  </mc:AlternateContent>
  <tableParts count="2">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4BCBD-78EB-4516-AC05-8A05A08A0CAC}">
  <sheetPr codeName="Hoja8"/>
  <dimension ref="B2:H76"/>
  <sheetViews>
    <sheetView zoomScale="85" zoomScaleNormal="85" workbookViewId="0">
      <selection activeCell="D5" sqref="D5"/>
    </sheetView>
  </sheetViews>
  <sheetFormatPr baseColWidth="10" defaultRowHeight="15" x14ac:dyDescent="0.25"/>
  <cols>
    <col min="4" max="4" width="26.28515625" customWidth="1"/>
    <col min="7" max="7" width="96.42578125" customWidth="1"/>
    <col min="9" max="9" width="15.85546875" customWidth="1"/>
  </cols>
  <sheetData>
    <row r="2" spans="2:8" x14ac:dyDescent="0.25">
      <c r="G2" t="s">
        <v>420</v>
      </c>
    </row>
    <row r="3" spans="2:8" x14ac:dyDescent="0.25">
      <c r="G3">
        <f>SUM(Clientes['# Pedidos ])</f>
        <v>306</v>
      </c>
    </row>
    <row r="4" spans="2:8" x14ac:dyDescent="0.25">
      <c r="B4" t="s">
        <v>203</v>
      </c>
      <c r="C4" t="s">
        <v>204</v>
      </c>
      <c r="D4" t="s">
        <v>198</v>
      </c>
      <c r="E4" t="s">
        <v>419</v>
      </c>
      <c r="F4" t="s">
        <v>1398</v>
      </c>
      <c r="G4" t="s">
        <v>1399</v>
      </c>
      <c r="H4" t="s">
        <v>332</v>
      </c>
    </row>
    <row r="5" spans="2:8" ht="113.25" x14ac:dyDescent="0.25">
      <c r="B5" s="3" t="s">
        <v>15</v>
      </c>
      <c r="C5">
        <v>5562236073</v>
      </c>
      <c r="D5" t="s">
        <v>54</v>
      </c>
      <c r="E5">
        <f>COUNTIF(Tabla1[Nombre completo],Clientes[[#This Row],[nombre]])</f>
        <v>31</v>
      </c>
      <c r="F5">
        <f>COUNTIF(Tabla1[Direcciòn],Clientes[[#This Row],[Domicilio]])</f>
        <v>31</v>
      </c>
      <c r="G5" s="116" t="str" cm="1">
        <f t="array" ref="G5">UnirPedidos(Clientes[[#This Row],[nombre]],Tabla1[Nombre completo],Tabla1[Pedido])</f>
        <v xml:space="preserve">9 veladoras , 2 Danet,2 dany,1l de leche, 1 tarjeta de 100 del oxxo, 1 alitas y 1 orden de salami/papas de la jaula,1 agua mineral de 2l,1 sidral de 3l,1 palomitas de mantequilla,2 takis verdes, 2 banderillas de queso, 1 alitas, 1 papas con salami , 2 tamales, y 2 garrafones bonafont, 1 malboro rojos, caguama viki,1k de tortillas, 1 bolsa de hielo, 1 mineral 2l, 1 Mineral, 1 hielos, 12 de modelo special , 1 tarjeta de google play 600, 2 chetos incognita, 1 alitas de la jaula , 1 power azul,1 garrafon de 20l,1 papas chips, 3 maruchas , 4 latones viqui, 2 bolsas de gomoitas, 1 mineral de 2l, 1 caja de pizza,1 chiken beak,2 galletotas,3 refrescos, 2 garrafones bonafont 20l, Dos Marucham de pollo, Dos flanes danet,Dos litros de leche alpura,Un pan tostado y una mantequillaY 5 sobres de chicomilk, Unas Pringles originales y un Pawer azul, 1 mineral 2l, 1 coca 600ml, 1 g, 1 garrafon,2 maruchas,14/ de queso crema,1 arroz del valle, 6 cubos de pollo, 2 maruchas, 2 gelatinas, 1 dannet, 1 mineral 2l, 2 garrafones, 2 bolsas de pozole,1 tostadas,, 1, 1 lucuky, 2 garrafones, 1 mineral, 1/4 de jamon y 1k de huevo, Sabritas Moradas, 1 garrafon , 1 Rufles Queso grandes, 2 garrafones ciel, 1 mineral de 2l, 2 dannet, 2 gelatinas gari, 1 bonafont 20l,2 focos, 1 mineral de 2l, 2 maruchas, 2 danets, 1/4 de jamon y de queso 1 pan tostado, 1 servicio extra </v>
      </c>
    </row>
    <row r="6" spans="2:8" ht="304.5" x14ac:dyDescent="0.25">
      <c r="B6" s="3" t="s">
        <v>70</v>
      </c>
      <c r="C6">
        <v>5620378837</v>
      </c>
      <c r="D6" s="60" t="s">
        <v>425</v>
      </c>
      <c r="E6">
        <f>COUNTIF(Tabla1[Nombre completo],Clientes[[#This Row],[nombre]])</f>
        <v>39</v>
      </c>
      <c r="F6">
        <f>COUNTIF(Tabla1[Direcciòn],Clientes[[#This Row],[Domicilio]])</f>
        <v>27</v>
      </c>
      <c r="G6" s="116" t="str" cm="1">
        <f t="array" ref="G6">UnirPedidos(Clientes[[#This Row],[nombre]],Tabla1[Nombre completo],Tabla1[Pedido])</f>
        <v>Un pan tostado, Un pan Bimbo, Una coca  de 600 sin azúcar, Un delawuer 600, Medio de huevo, 3 bolsas de basuraUn fabuloso chico, jamon 20, 3 sopas Maruchan, 1 cebolla, 20 de jamon, 50 de manchego , 8 juegos de llave , 1 Powerade azul, 30$ jamon, 30 manchego, 1 tostada, 1 coca 2L s Az, 1 Pan Bimbo grande, un garrafón de agua pero más chico, Margarina primavera y una bolsa para la basura, 1 pollo 1 papas gerandes, 1/2 delimon 2 caguamas , 1 Pizza Peperoni, 1 manzana, 1 chetos naranjas, 1 vitaloe, 1 paquete de salchichas de pavo, 1m de liston rosa, 2 cocas sin azucar de 255ml, 1 carretes hilo rosa , Una pechuga en bistec de pollo q sean 5 o 6,Una mayonesa mediana,Medio de crema,,1 cebollas,Una lata de chipotle ,1 bolsa de chilaquiles,50 de queso panela,Un litro de aceite,Una manzanita de a litro,5 bolilolos, 30 de jamon 30 de manchego,1 pinturo rosa, 2 panes dulces, Una bolsa de hielo,Un jabón axxe,Un fabuloso morado,Un clarasol,Un suavitel,2bolsas,Un delaware de 600,, 1 platos, 1 vasos, 1k de croquetas, 2 ordenes de tacos, 1 enchiladas, 1 sprite, 2 cocas, 1 paleta de fersa , Dos caguamas victorias, Un spray de 3l,Un cuarto de crema,Una sopa fideo delga,Medio de jitomate,Dos cajitas de knosuisa,Dos bolsas de basura x f, 1 fibra, 1 pan bimbo, 1 pegamento blanco , Una lata de elote,Una mayonesa mediana,Medio de crema,Dos delaware de 600,Dos cocas sin azúcar 600,Una bolsa de jabón ACCE, Un spagueti de la tortillería,Unas tostadas pero chicas, 1 BOLSA DE HIELO, 2 papeles de baño,1 aluminio2 sprite,, Un electrolitos de coco,Una veladora,Dos yakult,15 de tortillas, 1 lechuga,Una coca sin azúcar litro y medio, 1 spryte sin azucar, 1 coca de 600 sin azucxar,1 lechera, dos cocas sin azucar, Dos spray sin azucar,10 de tortillas, 20 de azúcar, 1k de huevo, Pan Bimbo ,Queso 20,To rtillas,1 jarrito 2l,100g de goahiyo,1 La lechera, 1 pizza de peperoni con queso , Dos cocas sin azúcar 600 ,10 de tortillas,Un paquete de vasos desechables ,Unas charolas,Y unos platos chicos,Un agua pero 10l,1frijoles,1 arroz, 3 pozoles grandes ,1 orden de enchiladas verdes ,4 flanes de la abuela de cajeta ,40 queso manchego ,1 tortillas de harina,30 jamón,1 pan Bimbo g,1 lata de leche Nestlé ,1 coca sin azúcar grande litro y medio,1 litro de leche alpura entera,1 toallas sanitarias nocturnas,1 crema alpura medio , 1 verdolagas, 1 arena para gatos, 2 cocas sin azucar, 20 de jamon 15 d torillas , 2 tortas de milanesa con salchica, 3 refrescos de 600 1 mordisco , 20 de azucar, 1 coca 250ml, llevar su ropa a la tintoreria, garrafon gonafont 20l, tuboi fde trikitrakets, , Un pan bimbo,30 de queso panela,Un garrafón de agua5l,Un papel aluminio,Dos rollos de papel baño,30 de uvas,20 de jamón,Un jarrito de uva , 3 naturales palomitas,2 paletas de hielo , 1k de crouqtea para gato,1l de leche alpura,1 coca de 1.75, 1 basos del n8 y bolsa de hielos , Una coca de lata sin azúcar, un litro de leche Alpura, un cereal lfrutloops,un cereal zucaritas, cinco gelatinas Dani,un jugo de manzana de litro,un suerox de uva,tres yogurt,Rollo de papel 3 yakul, 2 mangos, 3 gelatinas 3 yakul,1 tortillas de arina , 2 manzanas,1pera, 40 de uvas, Un pan Bimbo grande_x000D_
Un litro de leche,Un delaguer  grande,, Un jabón axxe, Un Suavitel azul, Un fabuloso azul, Un Tehuacán de a 600, cinco sobres de bicarbonato, una coca de a litro y medio, Un garrafón de agua 10l, 4 PANES DEL PAN CHINO, 1 COCA DE 1.25, 1K DE Tortillas , 1 pollo adobado, 1 papas,2 pepinos,1/4de croqueta para gato,12 de tortillas, 1 delawer 2l</v>
      </c>
    </row>
    <row r="7" spans="2:8" ht="124.5" x14ac:dyDescent="0.25">
      <c r="B7" s="3" t="s">
        <v>418</v>
      </c>
      <c r="C7">
        <v>5519745525</v>
      </c>
      <c r="D7" t="s">
        <v>200</v>
      </c>
      <c r="E7">
        <f>COUNTIF(Tabla1[Nombre completo],Clientes[[#This Row],[nombre]])</f>
        <v>19</v>
      </c>
      <c r="F7">
        <f>COUNTIF(Tabla1[Direcciòn],Clientes[[#This Row],[Domicilio]])</f>
        <v>11</v>
      </c>
      <c r="G7" s="116" t="str" cm="1">
        <f t="array" ref="G7">UnirPedidos(Clientes[[#This Row],[nombre]],Tabla1[Nombre completo],Tabla1[Pedido])</f>
        <v>1 pepesi 2l, 1k de tortillas , 6l de leche, 2k de huevo, 1 peñafile de 22, 15 de tortrillas,1 peñafiel de piña de 2l, 4 calabazas , - 1kg de tortillas ,- 1 jarrito rojo de 2l,,- 1 fritos de chorizo,m- 1 fritos de sal,- 1 Coca-Cola de 600ml,- 1 Mundet roja de 600ml,- 1 topochico de 600ml,- 1 Sabritas adobadas, 15 de tortillas, - 1 Pepsi de 3L,- 1 polvorones de naranja Marinela,- 1 emperador de nuez, 15 De tortillas,1 jarrito rojoi, 2 botes de arroz,1 carlos v , 1 lata de chipotle MEDIANA,1 Pepsi de 2L,- 1 tostadas charras,- 1 Coca-Cola de 400ml,- 1 chocolate Carlos V,- 1 yogur Alpura de manzana de vasito, 1 Kg de tortillas,1 coca de 1.75,- 1 emperador de nuez ,- 1 Tehuacán de 600ml, - 1 pastisetasL, 6 paquete de baño, 1 coca 1.75,10 pesos de tortillas, - 1 suavitel,1 palomitas naturales, 1 arroz,1k de tortillas,2l de coca, 1 doritos nacho, 1 coca de 3l,15 de totillas,2k de huevo,2 botes de spagueti, 1 suavitel,1 jax, 15 de tortillas,1 doritos incognita,1 coca de 1.75, 1k de toerillas, 1 coca de de 1.70, 2 doritos nacho , 15 de tortillas 1 pepsi 1.75, $15 de tortillas,Una coca de 2 litros,Un chocolate,Un topo chico,Una Mundet roja prisco,Unos rancheritos,, 1 refresco senzao,1 Delaware Ponch1 palomitas ACTO naturales,1 Peñafiel SOFT de frutos rojos,, - 1 Coca-Cola de 2L, - 1 papas Sabritas amarillas, - 1 Coca-Cola de 350ml, - 1 galletas besos de nuez, - 1 submarinos de fresa, - 1 rancheritos, - 1 galletas emperador de nuez, - 1 kinder delice</v>
      </c>
    </row>
    <row r="8" spans="2:8" ht="90.75" x14ac:dyDescent="0.25">
      <c r="B8" s="3" t="s">
        <v>211</v>
      </c>
      <c r="D8" s="63" t="s">
        <v>258</v>
      </c>
      <c r="E8">
        <f>COUNTIF(Tabla1[Nombre completo],Clientes[[#This Row],[nombre]])</f>
        <v>19</v>
      </c>
      <c r="F8">
        <f>COUNTIF(Tabla1[Direcciòn],Clientes[[#This Row],[Domicilio]])</f>
        <v>18</v>
      </c>
      <c r="G8" s="116" t="str" cm="1">
        <f t="array" ref="G8">UnirPedidos(Clientes[[#This Row],[nombre]],Tabla1[Nombre completo],Tabla1[Pedido])</f>
        <v>coca de 3l, 2 bolsas de totopos,1/4 queso blanco, 2 cocas,1 caja de cuqiker,8 bolillos 1 doña de moca,1k de huevo,, 750 gramos de chícharos,2 bolsas de pan molido Bimbo amarillo, 2 cocas 1.700l, 2 docenas de sopes,1/2 lechuga, 1 kilo de papas,1/2 de crema alpura,1/4 de queso blanco, 2 kg tortillAS, 2 COCAS 1.75 , 1/4 QUESO BLANCO, 1k de tortillas,1k de huevo,1 coca de de 3l 1 crema de 1/2, 1k de tortillas,3 agucates,m 1 coca de 1.75, 1 coca 1.75, 1 tpo chico 500ml, 1/2 de tomamtes,1/4 chiles verdes,1 jabon foca, 1 coca de 1.75, 1 coca de 1.75l, 1k de tortillas, 1 coca 1.75, 1kilo de tortillas, 1 coca de 1.75,1k de tortillas, 21/2 de panela, 1/2 de crem , 1 coca de 1.75,2 gansitos, 1 marucha , 1k de jitomate,1/2 de tomate, 1 1/2 de cebolla,aguacate,1/2 lechuga,1/2 de crema alpura,, 21 coca 1.75, 2 cocas de 1.75,2 gansitos,1k de tortillas, 1 coca 1.75,20 tortillas, 2 gansitos,1 coca 1.75,1k de tortillas, 8 bolillos, 1 coca de 1.750, 1k de tortillas, 2 cocas de 1.75</v>
      </c>
    </row>
    <row r="9" spans="2:8" ht="102" x14ac:dyDescent="0.25">
      <c r="B9" s="3" t="s">
        <v>413</v>
      </c>
      <c r="C9" t="s">
        <v>335</v>
      </c>
      <c r="D9" t="s">
        <v>272</v>
      </c>
      <c r="E9">
        <f>COUNTIF(Tabla1[Nombre completo],Clientes[[#This Row],[nombre]])</f>
        <v>14</v>
      </c>
      <c r="F9">
        <f>COUNTIF(Tabla1[Direcciòn],Clientes[[#This Row],[Domicilio]])</f>
        <v>14</v>
      </c>
      <c r="G9" s="116" t="str" cm="1">
        <f t="array" ref="G9">UnirPedidos(Clientes[[#This Row],[nombre]],Tabla1[Nombre completo],Tabla1[Pedido])</f>
        <v xml:space="preserve">4 aguas de litro Bonafont al tiempo,2 papas sabritas originales,2 donitas espolvoreadas,2 paquetes de salchichas de pavo, 8 barritas,1/4 de manchego,1/4 oaxaca,2 minerales 600,1 pan bimbo grandew, 2 sabritas amarillas, 1/2 Chilchota, 4 Barritas de Piña, 3 donitas espolvoreadas, 2 cocas, 1 coca sin azucar, 2 sabritas, 1 rancheritos, 4 barritas de piña 1 barra de queso doble crema chilchota 1 crema sopita de 1/4 4 pilas AA 2 cajetillas de cigarros malboro 14 rojos, 4 Barritas de piña. 1 donitas espolvoreadas, 4 barritas de piña, 2 donas expolvoredas,1 Boing de guayaba de 1 litro, 2 sabritas, Servicio Pago de Servicio, 6 barras de piña, 2 donas xpolvoreadas,1 minersal de 600ml, 5 barritas de piña,2 donas espolvoreadas,2 fritos sal y limón,2 doritos incógnita 1Pituetas , 3 barritas de piña, 2 donas spolvoreadas,2 lecheras, 1 barra de chilchota,3 barritas de piña,1 lechera, 2 sabritas de sal, 1 fritos, 2 red bull y 3 barritas de piña y 2 fritos sal,unas papas sabritas normales, 5 barritas, 1 crema de 1/2, Tienda 1/2 barra de queso doble crema chinchota,2 donas espolvoreadas,4 barritas de piña,2 doritis sal y limón,1 paquete de galletas piruetas,1 servicio de tintoreria,  </v>
      </c>
    </row>
    <row r="10" spans="2:8" ht="45.75" x14ac:dyDescent="0.25">
      <c r="B10" s="3" t="s">
        <v>252</v>
      </c>
      <c r="D10" s="60" t="s">
        <v>289</v>
      </c>
      <c r="E10">
        <f>COUNTIF(Tabla1[Nombre completo],Clientes[[#This Row],[nombre]])</f>
        <v>9</v>
      </c>
      <c r="F10">
        <f>COUNTIF(Tabla1[Direcciòn],Clientes[[#This Row],[Domicilio]])</f>
        <v>9</v>
      </c>
      <c r="G10" s="116" t="str" cm="1">
        <f t="array" ref="G10">UnirPedidos(Clientes[[#This Row],[nombre]],Tabla1[Nombre completo],Tabla1[Pedido])</f>
        <v>2 lapices, 1 copia,1 pluma roja, 2 papas ,1 brócoli,1/4 de champiñones ,1 lata de media crema,1 Philadelphia,1 saladitas, 2 impresiones, 1 huevo kinder niña, 9 plantillas de circulo, 1 sacapuntas, na cabeza de brocoli, 1 pimiento verde medianito y $80 de chicharron, 1k de tomate, 1/2 de bisteck,1/2 de chuleta,1/2 de tortillas, 1*/2 de tortillas, m1pechiuga 1k de muslo y pierna , 50 de chicharro, 1 agucate, 1 k de tortillas , Recoger pedido, Impresiones, barrita pritt</v>
      </c>
    </row>
    <row r="11" spans="2:8" ht="79.5" x14ac:dyDescent="0.25">
      <c r="B11" s="3" t="s">
        <v>1162</v>
      </c>
      <c r="C11" t="s">
        <v>1163</v>
      </c>
      <c r="D11" t="s">
        <v>1164</v>
      </c>
      <c r="E11">
        <f>COUNTIF(Tabla1[Nombre completo],Clientes[[#This Row],[nombre]])</f>
        <v>9</v>
      </c>
      <c r="F11">
        <f>COUNTIF(Tabla1[Direcciòn],Clientes[[#This Row],[Domicilio]])</f>
        <v>9</v>
      </c>
      <c r="G11" s="116" t="str" cm="1">
        <f t="array" ref="G11">UnirPedidos(Clientes[[#This Row],[nombre]],Tabla1[Nombre completo],Tabla1[Pedido])</f>
        <v xml:space="preserve">30 pesos de tocino,50 manchego, 2 paquetes hambuerga, 1 jarrito rojo,2 lecheras 1 kilo huevos, 1k de tortillas, encargo dos gatorade de naranja y cuatro maruchan, Un cuarto de longaniza Un kilo de tortillas Una paleta de hielo chemise piña coco Una coca de 3L 30 pesos de queso crema Unos frijoles isadora Una crema de medio alpura Un aguacate 4 piernas 1 juego de alas con huacal 2 muslos, 🔸Medio de salchicha,🔸 Medio de tocino,🔸50 pesos de queso manchego,🔸Una coca de 3 litros,🔸3 paquetes de panes medias noches,🔸Una coca de lata,🔸Un kilo de jitomate,🔸Una lata de chiles en vinagre🔸Una lata de chiles en vinagre, 1 k de huevo, 2 lecheres, 1 maicena, 1 litro de alpura deslactoosada, 1k de tortillas, 1 jarrito rojo, 1 naranjada de 2l,1 cigarros de 14,1 crema de 1/2, 3 kilos de azúcar,30 de panela, 1 jarrito, 1 coca de lata, 1 mango, 2 pepinos 1 cigarros de 14 </v>
      </c>
    </row>
    <row r="12" spans="2:8" ht="57" x14ac:dyDescent="0.25">
      <c r="B12" s="3" t="s">
        <v>128</v>
      </c>
      <c r="C12">
        <v>5532003315</v>
      </c>
      <c r="D12" t="s">
        <v>129</v>
      </c>
      <c r="E12">
        <f>COUNTIF(Tabla1[Nombre completo],Clientes[[#This Row],[nombre]])</f>
        <v>8</v>
      </c>
      <c r="F12">
        <f>COUNTIF(Tabla1[Direcciòn],Clientes[[#This Row],[Domicilio]])</f>
        <v>8</v>
      </c>
      <c r="G12" s="116" t="str" cm="1">
        <f t="array" ref="G12">UnirPedidos(Clientes[[#This Row],[nombre]],Tabla1[Nombre completo],Tabla1[Pedido])</f>
        <v>1 frijoles refritos, 3 barraas iberia, 1l de aceite,1/4 de manchego, 1/4 panela 3l de alpura deslacotasada, 2 paquetes de halls, 2 cremas de 1/4, 1 tortillinas nde 12,1/2 de huevo , 1/4 de jamon y de manchego,2l de leche alpùra deslactosada , 1/4 de jamon 1/2 de huevo/1/2 de manchego, 1/4 jamón rebanadas delgadas ,1/4 queso manchego ,2 lts de Alpura deslactosada,1 sidral Mundet 2lt,1 pan Bimbo blanco chico,1 yoghurt mix Danone con chococrispies, 200G de jamon, manchego y oaxaca 2 danoninos,1 pan chico, 1 caldo de pollo,1 bote de estudio,200g de jamon, 1 mundet de 3l, 16 Tacos don dani, Panque de pàsas bimbo, 2 doraditas,</v>
      </c>
    </row>
    <row r="13" spans="2:8" ht="45.75" x14ac:dyDescent="0.25">
      <c r="B13" s="3" t="s">
        <v>423</v>
      </c>
      <c r="D13" s="60" t="s">
        <v>311</v>
      </c>
      <c r="E13">
        <f>COUNTIF(Tabla1[Nombre completo],Clientes[[#This Row],[nombre]])</f>
        <v>7</v>
      </c>
      <c r="F13">
        <f>COUNTIF(Tabla1[Direcciòn],Clientes[[#This Row],[Domicilio]])</f>
        <v>7</v>
      </c>
      <c r="G13" s="116" t="str" cm="1">
        <f t="array" ref="G13">UnirPedidos(Clientes[[#This Row],[nombre]],Tabla1[Nombre completo],Tabla1[Pedido])</f>
        <v xml:space="preserve">2 garrafones bonafont, 1 Garrafon bonafont, 2k de papa, 1k platano,1k de jamaica,1 kilo de tortillas, 1 kilo mandarina pequeña,1 kg pepino, 4 Bistec.1 Campechano,1 Cecina enchilada,1 sope con quesillo,1 pambazo de papas con Chorizo y picadillo., 1 pizza de queso , 2m de resorte para mochila, 2 gomas, 2 sacapuntas,1 bolsa, 1 silicon , 2 cajas de pizza,1 frape, 1 smoothie,1 galletota, entregar un paquete de mercado liber </v>
      </c>
    </row>
    <row r="14" spans="2:8" ht="57" x14ac:dyDescent="0.25">
      <c r="B14" s="3" t="s">
        <v>128</v>
      </c>
      <c r="C14" t="s">
        <v>1384</v>
      </c>
      <c r="D14" t="s">
        <v>129</v>
      </c>
      <c r="E14">
        <f>COUNTIF(Tabla1[Nombre completo],Clientes[[#This Row],[nombre]])</f>
        <v>8</v>
      </c>
      <c r="F14">
        <f>COUNTIF(Tabla1[Direcciòn],Clientes[[#This Row],[Domicilio]])</f>
        <v>8</v>
      </c>
      <c r="G14" s="116" t="str" cm="1">
        <f t="array" ref="G14">UnirPedidos(Clientes[[#This Row],[nombre]],Tabla1[Nombre completo],Tabla1[Pedido])</f>
        <v>1 frijoles refritos, 3 barraas iberia, 1l de aceite,1/4 de manchego, 1/4 panela 3l de alpura deslacotasada, 2 paquetes de halls, 2 cremas de 1/4, 1 tortillinas nde 12,1/2 de huevo , 1/4 de jamon y de manchego,2l de leche alpùra deslactosada , 1/4 de jamon 1/2 de huevo/1/2 de manchego, 1/4 jamón rebanadas delgadas ,1/4 queso manchego ,2 lts de Alpura deslactosada,1 sidral Mundet 2lt,1 pan Bimbo blanco chico,1 yoghurt mix Danone con chococrispies, 200G de jamon, manchego y oaxaca 2 danoninos,1 pan chico, 1 caldo de pollo,1 bote de estudio,200g de jamon, 1 mundet de 3l, 16 Tacos don dani, Panque de pàsas bimbo, 2 doraditas,</v>
      </c>
    </row>
    <row r="15" spans="2:8" x14ac:dyDescent="0.25">
      <c r="B15" s="3" t="s">
        <v>188</v>
      </c>
      <c r="C15">
        <v>5565375468</v>
      </c>
      <c r="D15" t="s">
        <v>201</v>
      </c>
      <c r="E15">
        <f>COUNTIF(Tabla1[Nombre completo],Clientes[[#This Row],[nombre]])</f>
        <v>5</v>
      </c>
      <c r="F15">
        <f>COUNTIF(Tabla1[Direcciòn],Clientes[[#This Row],[Domicilio]])</f>
        <v>3</v>
      </c>
      <c r="G15" s="116" t="str" cm="1">
        <f t="array" ref="G15">UnirPedidos(Clientes[[#This Row],[nombre]],Tabla1[Nombre completo],Tabla1[Pedido])</f>
        <v xml:space="preserve">1 huasteco, 1 cosaco , 2 quesabirrilas , 2l de leche deslactosada, 1 coca de 1.25 y 1/4 de crema , 1 coca de 1.25 y 1/4 de crema </v>
      </c>
    </row>
    <row r="16" spans="2:8" ht="23.25" x14ac:dyDescent="0.25">
      <c r="B16" s="3" t="s">
        <v>136</v>
      </c>
      <c r="C16">
        <v>5531028120</v>
      </c>
      <c r="D16" t="s">
        <v>20</v>
      </c>
      <c r="E16">
        <f>COUNTIF(Tabla1[Nombre completo],Clientes[[#This Row],[nombre]])</f>
        <v>4</v>
      </c>
      <c r="F16">
        <f>COUNTIF(Tabla1[Direcciòn],Clientes[[#This Row],[Domicilio]])</f>
        <v>4</v>
      </c>
      <c r="G16" s="116" t="str" cm="1">
        <f t="array" ref="G16">UnirPedidos(Clientes[[#This Row],[nombre]],Tabla1[Nombre completo],Tabla1[Pedido])</f>
        <v>1 pizza, 1 hotdog, 1 mega, 1 Mega, 1 corona mega, 1 caguama, 1 lata, 1 valentia, 1 pan bimbo chico, 1 lata dew frijoles, 1/4 de jamon y de queso oaxaca, 1 servicio extra</v>
      </c>
    </row>
    <row r="17" spans="2:7" x14ac:dyDescent="0.25">
      <c r="B17" s="3" t="s">
        <v>371</v>
      </c>
      <c r="C17" t="s">
        <v>372</v>
      </c>
      <c r="D17" t="s">
        <v>373</v>
      </c>
      <c r="E17">
        <f>COUNTIF(Tabla1[Nombre completo],Clientes[[#This Row],[nombre]])</f>
        <v>4</v>
      </c>
      <c r="F17">
        <f>COUNTIF(Tabla1[Direcciòn],Clientes[[#This Row],[Domicilio]])</f>
        <v>3</v>
      </c>
      <c r="G17" s="116" t="str" cm="1">
        <f t="array" ref="G17">UnirPedidos(Clientes[[#This Row],[nombre]],Tabla1[Nombre completo],Tabla1[Pedido])</f>
        <v>1 pechuga en 8 bisteces y 5 pesos de chile , 7 hot dog y 1 galleta , 3 hot dog simple, 1 sándwich simple</v>
      </c>
    </row>
    <row r="18" spans="2:7" ht="23.25" x14ac:dyDescent="0.25">
      <c r="B18" s="3" t="s">
        <v>29</v>
      </c>
      <c r="D18" s="60" t="s">
        <v>30</v>
      </c>
      <c r="E18">
        <f>COUNTIF(Tabla1[Nombre completo],Clientes[[#This Row],[nombre]])</f>
        <v>6</v>
      </c>
      <c r="F18">
        <f>COUNTIF(Tabla1[Direcciòn],Clientes[[#This Row],[Domicilio]])</f>
        <v>5</v>
      </c>
      <c r="G18" s="116" t="str" cm="1">
        <f t="array" ref="G18">UnirPedidos(Clientes[[#This Row],[nombre]],Tabla1[Nombre completo],Tabla1[Pedido])</f>
        <v xml:space="preserve">1 garrafon bonafont 20l, 1/4 de arándanos,  3 manzanas una papaya mediana 1 bolsa de hielos, 1 kilo de huevo  y 1/4 de jamón de pavo, 1 bolsa de hielo, 1 bonafont 20l, 2 Garrafones Bonafont,1k de pierna con muslo sin piel2 chayotes, 1/4 de zanahoria 1 1/2 de tortillas </v>
      </c>
    </row>
    <row r="19" spans="2:7" x14ac:dyDescent="0.25">
      <c r="B19" s="3" t="s">
        <v>246</v>
      </c>
      <c r="D19" s="60" t="s">
        <v>424</v>
      </c>
      <c r="E19">
        <f>COUNTIF(Tabla1[Nombre completo],Clientes[[#This Row],[nombre]])</f>
        <v>6</v>
      </c>
      <c r="F19">
        <f>COUNTIF(Tabla1[Direcciòn],Clientes[[#This Row],[Domicilio]])</f>
        <v>6</v>
      </c>
      <c r="G19" s="116" t="str" cm="1">
        <f t="array" ref="G19">UnirPedidos(Clientes[[#This Row],[nombre]],Tabla1[Nombre completo],Tabla1[Pedido])</f>
        <v>2 garrafones bonafotn, 1 pechuga en 8,1k de tporttillas, 2 pepinos, 2 aguacates, 1 huevo kinder,5 hojas opalinas, Kilo y medio de muslo y pierna , 1kg de pollo con muslo,, 1kg jitomate medio de chiles una cabeza de ajo,</v>
      </c>
    </row>
    <row r="20" spans="2:7" x14ac:dyDescent="0.25">
      <c r="B20" s="3" t="s">
        <v>1153</v>
      </c>
      <c r="C20" t="s">
        <v>1154</v>
      </c>
      <c r="D20" s="115" t="s">
        <v>1155</v>
      </c>
      <c r="E20">
        <f>COUNTIF(Tabla1[Nombre completo],Clientes[[#This Row],[nombre]])</f>
        <v>4</v>
      </c>
      <c r="F20">
        <f>COUNTIF(Tabla1[Direcciòn],Clientes[[#This Row],[Domicilio]])</f>
        <v>4</v>
      </c>
      <c r="G20" s="116" t="str" cm="1">
        <f t="array" ref="G20">UnirPedidos(Clientes[[#This Row],[nombre]],Tabla1[Nombre completo],Tabla1[Pedido])</f>
        <v xml:space="preserve">7 panes , 2 pac tortillas de 20, 2 minerales 2l, 4 bolillos, 1 frijoles, 1 paquetre de salchicchas pavo  food </v>
      </c>
    </row>
    <row r="21" spans="2:7" ht="23.25" x14ac:dyDescent="0.25">
      <c r="B21" s="3" t="s">
        <v>17</v>
      </c>
      <c r="D21" s="3" t="s">
        <v>18</v>
      </c>
      <c r="E21">
        <f>COUNTIF(Tabla1[Nombre completo],Clientes[[#This Row],[nombre]])</f>
        <v>3</v>
      </c>
      <c r="F21">
        <f>COUNTIF(Tabla1[Direcciòn],Clientes[[#This Row],[Domicilio]])</f>
        <v>3</v>
      </c>
      <c r="G21" s="116" t="str" cm="1">
        <f t="array" ref="G21">UnirPedidos(Clientes[[#This Row],[nombre]],Tabla1[Nombre completo],Tabla1[Pedido])</f>
        <v>1 Bolsa de palomitas, 2 cocas 0, 1 coca normnal 1 papas adobas , 1 Bolsa de palomitas, 2 cocas 0, 1 coca normnal 1 papas adobas , 1 cabeza de ajo</v>
      </c>
    </row>
    <row r="22" spans="2:7" x14ac:dyDescent="0.25">
      <c r="B22" s="3" t="s">
        <v>1033</v>
      </c>
      <c r="C22" t="s">
        <v>1034</v>
      </c>
      <c r="D22" s="3" t="s">
        <v>1035</v>
      </c>
      <c r="E22">
        <f>COUNTIF(Tabla1[Nombre completo],Clientes[[#This Row],[nombre]])</f>
        <v>3</v>
      </c>
      <c r="F22">
        <f>COUNTIF(Tabla1[Direcciòn],Clientes[[#This Row],[Domicilio]])</f>
        <v>3</v>
      </c>
      <c r="G22" s="116" t="str" cm="1">
        <f t="array" ref="G22">UnirPedidos(Clientes[[#This Row],[nombre]],Tabla1[Nombre completo],Tabla1[Pedido])</f>
        <v>1 garrafon 20l, 1 GARRAFON DE 20 BONAFONT, 1 garrafon de 20l</v>
      </c>
    </row>
    <row r="23" spans="2:7" ht="45.75" x14ac:dyDescent="0.25">
      <c r="B23" s="3" t="s">
        <v>1063</v>
      </c>
      <c r="C23" t="s">
        <v>1127</v>
      </c>
      <c r="D23" s="114" t="s">
        <v>1128</v>
      </c>
      <c r="E23">
        <f>COUNTIF(Tabla1[Nombre completo],Clientes[[#This Row],[nombre]])</f>
        <v>5</v>
      </c>
      <c r="F23">
        <f>COUNTIF(Tabla1[Direcciòn],Clientes[[#This Row],[Domicilio]])</f>
        <v>4</v>
      </c>
      <c r="G23" s="116" t="str" cm="1">
        <f t="array" ref="G23">UnirPedidos(Clientes[[#This Row],[nombre]],Tabla1[Nombre completo],Tabla1[Pedido])</f>
        <v xml:space="preserve">2 cajas de cerial, 1 bolsa de almendra,1bolsa de nuez,1 melon, 1 papaya,1penca de platano,, 8 hilos de color,1k de bistec,1k de pòllo,1k de platano,1 melon, 1 pepino 3 mangos,1k de pera, 1/2 de lechiuga de y dse espinaca,1/2 de limon, 2 gelatinas para hacer,5 garis, 1k de jamon de pavo, 1k de manchego,2,k de oaxaca,5l de leche lala,1 bolsa de avena,1 yogyrth narutal, 1 pañales etapa 7,1 crema 1/2,1 philadelphia, 5 botellas de agua 600, 5 sobres de te,1k de huevpo, 6l alpura,40 pac de pañales etapa 7,1 1/2 jamoca  </v>
      </c>
    </row>
    <row r="24" spans="2:7" ht="23.25" x14ac:dyDescent="0.25">
      <c r="B24" s="3" t="s">
        <v>1176</v>
      </c>
      <c r="C24" t="s">
        <v>1177</v>
      </c>
      <c r="D24" s="115" t="s">
        <v>1178</v>
      </c>
      <c r="E24">
        <f>COUNTIF(Tabla1[Nombre completo],Clientes[[#This Row],[nombre]])</f>
        <v>5</v>
      </c>
      <c r="F24">
        <f>COUNTIF(Tabla1[Direcciòn],Clientes[[#This Row],[Domicilio]])</f>
        <v>5</v>
      </c>
      <c r="G24" s="116" t="str" cm="1">
        <f t="array" ref="G24">UnirPedidos(Clientes[[#This Row],[nombre]],Tabla1[Nombre completo],Tabla1[Pedido])</f>
        <v>2K de huevo, 1 pan bimbo, 1 nutella, 1/4 de queso blanco , 2k de huevo, 1 paquete de salchichas,1 paquqte de gasas, 2K de huevos , 2 Kg de huevo ,1 Kg de limón, Jugo del valle 2l, 1/4 de queso manchego en rebanadas ,1/4 de jamon, 2 CAJAS DE CIGARROS</v>
      </c>
    </row>
    <row r="25" spans="2:7" x14ac:dyDescent="0.25">
      <c r="B25" s="3" t="s">
        <v>1002</v>
      </c>
      <c r="C25" t="s">
        <v>1209</v>
      </c>
      <c r="D25" s="117" t="s">
        <v>1210</v>
      </c>
      <c r="E25">
        <f>COUNTIF(Tabla1[Nombre completo],Clientes[[#This Row],[nombre]])</f>
        <v>7</v>
      </c>
      <c r="F25">
        <f>COUNTIF(Tabla1[Direcciòn],Clientes[[#This Row],[Domicilio]])</f>
        <v>6</v>
      </c>
      <c r="G25" s="116" t="str" cm="1">
        <f t="array" ref="G25">UnirPedidos(Clientes[[#This Row],[nombre]],Tabla1[Nombre completo],Tabla1[Pedido])</f>
        <v>2 cosacos , 1 cosaco 2l, 1 huasteco, 1 cosaco 2l, 1 Kosako , 1 huasteco , 2 cosacos, 1 huasteco, 2 cosacos 600</v>
      </c>
    </row>
    <row r="26" spans="2:7" x14ac:dyDescent="0.25">
      <c r="B26" s="3" t="s">
        <v>1295</v>
      </c>
      <c r="C26" t="s">
        <v>1296</v>
      </c>
      <c r="D26" s="117" t="s">
        <v>1297</v>
      </c>
      <c r="E26">
        <f>COUNTIF(Tabla1[Nombre completo],Clientes[[#This Row],[nombre]])</f>
        <v>4</v>
      </c>
      <c r="F26">
        <f>COUNTIF(Tabla1[Direcciòn],Clientes[[#This Row],[Domicilio]])</f>
        <v>5</v>
      </c>
      <c r="G26" s="116" t="str" cm="1">
        <f t="array" ref="G26">UnirPedidos(Clientes[[#This Row],[nombre]],Tabla1[Nombre completo],Tabla1[Pedido])</f>
        <v>1 tortta de milanesa, 1 coca 600, 1 pinguinos 3, 1 emperador limon,1l de leche,1 coca 600ml, 1 coca 1.35, 1 tamal verdeº</v>
      </c>
    </row>
    <row r="27" spans="2:7" x14ac:dyDescent="0.25">
      <c r="B27" s="3" t="s">
        <v>216</v>
      </c>
      <c r="D27" s="117" t="s">
        <v>263</v>
      </c>
      <c r="E27">
        <f>COUNTIF(Tabla1[Nombre completo],Clientes[[#This Row],[nombre]])</f>
        <v>3</v>
      </c>
      <c r="F27">
        <f>COUNTIF(Tabla1[Direcciòn],Clientes[[#This Row],[Domicilio]])</f>
        <v>3</v>
      </c>
      <c r="G27" s="116" t="str" cm="1">
        <f t="array" ref="G27">UnirPedidos(Clientes[[#This Row],[nombre]],Tabla1[Nombre completo],Tabla1[Pedido])</f>
        <v>1 madalenas,1 crema de 1/2, 4 bolillos, 25 de jamon, 1/4 de jamaica 20 de queso blanco, 2 pan dulce, 15 de jamon, 1 jarrito 2l</v>
      </c>
    </row>
    <row r="28" spans="2:7" ht="23.25" x14ac:dyDescent="0.25">
      <c r="B28" s="3" t="s">
        <v>191</v>
      </c>
      <c r="C28">
        <v>5621837478</v>
      </c>
      <c r="D28" s="117" t="s">
        <v>202</v>
      </c>
      <c r="E28">
        <f>COUNTIF(Tabla1[Nombre completo],Clientes[[#This Row],[nombre]])</f>
        <v>2</v>
      </c>
      <c r="F28">
        <f>COUNTIF(Tabla1[Direcciòn],Clientes[[#This Row],[Domicilio]])</f>
        <v>0</v>
      </c>
      <c r="G28" s="116" t="str" cm="1">
        <f t="array" ref="G28">UnirPedidos(Clientes[[#This Row],[nombre]],Tabla1[Nombre completo],Tabla1[Pedido])</f>
        <v>1/2 de milanesa de res,1 lata de piña en almibar ,1 caja de pan molido ,1/4 de queso oaxaca,1 aguacate,1 lata de frijoles refritos negros., 1/2 de milanesa de res,1 lata de piña en almibar ,1 caja de pan molido ,1/4 de queso oaxaca,1 aguacate,1 lata de frijoles refritos negros.</v>
      </c>
    </row>
    <row r="29" spans="2:7" ht="23.25" x14ac:dyDescent="0.25">
      <c r="B29" s="3" t="s">
        <v>347</v>
      </c>
      <c r="C29" t="s">
        <v>348</v>
      </c>
      <c r="D29" t="s">
        <v>349</v>
      </c>
      <c r="E29">
        <f>COUNTIF(Tabla1[Nombre completo],Clientes[[#This Row],[nombre]])</f>
        <v>3</v>
      </c>
      <c r="F29">
        <f>COUNTIF(Tabla1[Direcciòn],Clientes[[#This Row],[Domicilio]])</f>
        <v>3</v>
      </c>
      <c r="G29" s="116" t="str" cm="1">
        <f t="array" ref="G29">UnirPedidos(Clientes[[#This Row],[nombre]],Tabla1[Nombre completo],Tabla1[Pedido])</f>
        <v>2 banderillas salchiqueso 1 banderilla hawaiana 1 orden de papas, 1 spritr 3l, 1 garrafonb de 20l, 1 coca de 3l, 1 donitas espolvoreadas , refresco delaware grande ,1/4 de jamón de pierna ,1 tortillinas</v>
      </c>
    </row>
    <row r="30" spans="2:7" x14ac:dyDescent="0.25">
      <c r="B30" s="3" t="s">
        <v>253</v>
      </c>
      <c r="C30" t="s">
        <v>352</v>
      </c>
      <c r="D30" s="117" t="s">
        <v>353</v>
      </c>
      <c r="E30">
        <f>COUNTIF(Tabla1[Nombre completo],Clientes[[#This Row],[nombre]])</f>
        <v>3</v>
      </c>
      <c r="F30">
        <f>COUNTIF(Tabla1[Direcciòn],Clientes[[#This Row],[Domicilio]])</f>
        <v>2</v>
      </c>
      <c r="G30" s="116" t="str" cm="1">
        <f t="array" ref="G30">UnirPedidos(Clientes[[#This Row],[nombre]],Tabla1[Nombre completo],Tabla1[Pedido])</f>
        <v>1 pechuga en 2 1 coca de 2lk sin az, 1 chiken beak, 1 ensalada , 2 muslos en forma de bistec</v>
      </c>
    </row>
    <row r="31" spans="2:7" ht="23.25" x14ac:dyDescent="0.25">
      <c r="B31" s="3" t="s">
        <v>101</v>
      </c>
      <c r="D31" s="119" t="s">
        <v>39</v>
      </c>
      <c r="E31">
        <f>COUNTIF(Tabla1[Nombre completo],Clientes[[#This Row],[nombre]])</f>
        <v>2</v>
      </c>
      <c r="F31">
        <f>COUNTIF(Tabla1[Direcciòn],Clientes[[#This Row],[Domicilio]])</f>
        <v>0</v>
      </c>
      <c r="G31" s="116" t="str" cm="1">
        <f t="array" ref="G31">UnirPedidos(Clientes[[#This Row],[nombre]],Tabla1[Nombre completo],Tabla1[Pedido])</f>
        <v>2 donas espolvoreadas,Una crema alpura de 1/4,, Crema alpura 1/4,2 donas espolvoreadas ,2 sabritas originales ,2 barritas de piña,1 roles individuales de canela, 2 bolsas de regalo medianas por favor,2 moños medianos azules</v>
      </c>
    </row>
    <row r="32" spans="2:7" x14ac:dyDescent="0.25">
      <c r="B32" s="3" t="s">
        <v>251</v>
      </c>
      <c r="D32" s="63" t="s">
        <v>301</v>
      </c>
      <c r="E32">
        <f>COUNTIF(Tabla1[Nombre completo],Clientes[[#This Row],[nombre]])</f>
        <v>2</v>
      </c>
      <c r="F32">
        <f>COUNTIF(Tabla1[Direcciòn],Clientes[[#This Row],[Domicilio]])</f>
        <v>2</v>
      </c>
      <c r="G32" s="116" t="str" cm="1">
        <f t="array" ref="G32">UnirPedidos(Clientes[[#This Row],[nombre]],Tabla1[Nombre completo],Tabla1[Pedido])</f>
        <v>1 en salada con soda, 1 chiken beak , 1 garrafon de bonafont</v>
      </c>
    </row>
    <row r="33" spans="2:7" x14ac:dyDescent="0.25">
      <c r="B33" s="3" t="s">
        <v>36</v>
      </c>
      <c r="D33" s="62" t="s">
        <v>37</v>
      </c>
      <c r="E33">
        <f>COUNTIF(Tabla1[Nombre completo],Clientes[[#This Row],[nombre]])</f>
        <v>2</v>
      </c>
      <c r="F33">
        <f>COUNTIF(Tabla1[Direcciòn],Clientes[[#This Row],[Domicilio]])</f>
        <v>2</v>
      </c>
      <c r="G33" s="116" t="str" cm="1">
        <f t="array" ref="G33">UnirPedidos(Clientes[[#This Row],[nombre]],Tabla1[Nombre completo],Tabla1[Pedido])</f>
        <v xml:space="preserve">2 cajas lucky suaves </v>
      </c>
    </row>
    <row r="34" spans="2:7" x14ac:dyDescent="0.25">
      <c r="B34" s="3" t="s">
        <v>132</v>
      </c>
      <c r="D34" s="63" t="s">
        <v>133</v>
      </c>
      <c r="E34">
        <f>COUNTIF(Tabla1[Nombre completo],Clientes[[#This Row],[nombre]])</f>
        <v>2</v>
      </c>
      <c r="F34">
        <f>COUNTIF(Tabla1[Direcciòn],Clientes[[#This Row],[Domicilio]])</f>
        <v>2</v>
      </c>
      <c r="G34" s="116" t="str" cm="1">
        <f t="array" ref="G34">UnirPedidos(Clientes[[#This Row],[nombre]],Tabla1[Nombre completo],Tabla1[Pedido])</f>
        <v>1 kg de huevo , 1 leche deslactosada santa clara ., 1 coca de 3l, pedido de farmacia gjr, 1 Kg huevo</v>
      </c>
    </row>
    <row r="35" spans="2:7" ht="23.25" x14ac:dyDescent="0.25">
      <c r="B35" s="3" t="s">
        <v>214</v>
      </c>
      <c r="D35" s="62" t="s">
        <v>261</v>
      </c>
      <c r="E35">
        <f>COUNTIF(Tabla1[Nombre completo],Clientes[[#This Row],[nombre]])</f>
        <v>2</v>
      </c>
      <c r="F35">
        <f>COUNTIF(Tabla1[Direcciòn],Clientes[[#This Row],[Domicilio]])</f>
        <v>2</v>
      </c>
      <c r="G35" s="116" t="str" cm="1">
        <f t="array" ref="G35">UnirPedidos(Clientes[[#This Row],[nombre]],Tabla1[Nombre completo],Tabla1[Pedido])</f>
        <v xml:space="preserve">1 pechuga entera,1/2 de crema 1/4 de queso,5 de cilantro,1k de tortillas, 1 caja de malboro, 2 cocas reto de 3l, 8 bisteck,1/4 de longaniza,1/4doble crema 1 maolboro  rojos </v>
      </c>
    </row>
    <row r="36" spans="2:7" x14ac:dyDescent="0.25">
      <c r="B36" s="3" t="s">
        <v>1148</v>
      </c>
      <c r="C36" t="s">
        <v>341</v>
      </c>
      <c r="D36" s="117" t="s">
        <v>342</v>
      </c>
      <c r="E36">
        <f>COUNTIF(Tabla1[Nombre completo],Clientes[[#This Row],[nombre]])</f>
        <v>2</v>
      </c>
      <c r="F36">
        <f>COUNTIF(Tabla1[Direcciòn],Clientes[[#This Row],[Domicilio]])</f>
        <v>2</v>
      </c>
      <c r="G36" s="116" t="str" cm="1">
        <f t="array" ref="G36">UnirPedidos(Clientes[[#This Row],[nombre]],Tabla1[Nombre completo],Tabla1[Pedido])</f>
        <v>1 garrafon de 20 y 1 de 10 l, Latte tamaño grande con leche deslactosada media carga ,  1moka deslactosado tamaño grande</v>
      </c>
    </row>
    <row r="37" spans="2:7" x14ac:dyDescent="0.25">
      <c r="B37" s="3" t="s">
        <v>1170</v>
      </c>
      <c r="C37" t="s">
        <v>1171</v>
      </c>
      <c r="D37" s="118" t="s">
        <v>1172</v>
      </c>
      <c r="E37">
        <f>COUNTIF(Tabla1[Nombre completo],Clientes[[#This Row],[nombre]])</f>
        <v>2</v>
      </c>
      <c r="F37">
        <f>COUNTIF(Tabla1[Direcciòn],Clientes[[#This Row],[Domicilio]])</f>
        <v>2</v>
      </c>
      <c r="G37" s="116" t="str" cm="1">
        <f t="array" ref="G37">UnirPedidos(Clientes[[#This Row],[nombre]],Tabla1[Nombre completo],Tabla1[Pedido])</f>
        <v>3 garrafones de 20 y 1 de 10l, 2 garrafones de 20l y 1 dse 10l rellenados en la cisterna</v>
      </c>
    </row>
    <row r="38" spans="2:7" x14ac:dyDescent="0.25">
      <c r="B38" s="3" t="s">
        <v>1181</v>
      </c>
      <c r="C38" t="s">
        <v>1182</v>
      </c>
      <c r="D38" s="117" t="s">
        <v>1183</v>
      </c>
      <c r="E38">
        <f>COUNTIF(Tabla1[Nombre completo],Clientes[[#This Row],[nombre]])</f>
        <v>2</v>
      </c>
      <c r="F38">
        <f>COUNTIF(Tabla1[Direcciòn],Clientes[[#This Row],[Domicilio]])</f>
        <v>2</v>
      </c>
      <c r="G38" s="116" t="str" cm="1">
        <f t="array" ref="G38">UnirPedidos(Clientes[[#This Row],[nombre]],Tabla1[Nombre completo],Tabla1[Pedido])</f>
        <v>1 hot dog, 1 rebanada de pizza , 3 garrafones rellenadosa en cisterna de 20l</v>
      </c>
    </row>
    <row r="39" spans="2:7" x14ac:dyDescent="0.25">
      <c r="B39" s="3" t="s">
        <v>1186</v>
      </c>
      <c r="C39" t="s">
        <v>1187</v>
      </c>
      <c r="D39" t="s">
        <v>1188</v>
      </c>
      <c r="E39">
        <f>COUNTIF(Tabla1[Nombre completo],Clientes[[#This Row],[nombre]])</f>
        <v>2</v>
      </c>
      <c r="F39">
        <f>COUNTIF(Tabla1[Direcciòn],Clientes[[#This Row],[Domicilio]])</f>
        <v>1</v>
      </c>
      <c r="G39" s="116" t="str" cm="1">
        <f t="array" ref="G39">UnirPedidos(Clientes[[#This Row],[nombre]],Tabla1[Nombre completo],Tabla1[Pedido])</f>
        <v xml:space="preserve">1/2 de queso Oaxaca ,  1KG de masa, 1 k de tortilla, 1 red cola de 3 litros </v>
      </c>
    </row>
    <row r="40" spans="2:7" x14ac:dyDescent="0.25">
      <c r="B40" s="3" t="s">
        <v>1221</v>
      </c>
      <c r="C40" t="s">
        <v>1222</v>
      </c>
      <c r="D40" t="s">
        <v>1223</v>
      </c>
      <c r="E40">
        <f>COUNTIF(Tabla1[Nombre completo],Clientes[[#This Row],[nombre]])</f>
        <v>2</v>
      </c>
      <c r="F40">
        <f>COUNTIF(Tabla1[Direcciòn],Clientes[[#This Row],[Domicilio]])</f>
        <v>2</v>
      </c>
      <c r="G40" s="116" t="str" cm="1">
        <f t="array" ref="G40">UnirPedidos(Clientes[[#This Row],[nombre]],Tabla1[Nombre completo],Tabla1[Pedido])</f>
        <v>30 latas de cerveza , 29 latas de viki</v>
      </c>
    </row>
    <row r="41" spans="2:7" x14ac:dyDescent="0.25">
      <c r="B41" s="3" t="s">
        <v>1239</v>
      </c>
      <c r="C41" t="s">
        <v>1240</v>
      </c>
      <c r="D41" t="s">
        <v>1241</v>
      </c>
      <c r="E41">
        <f>COUNTIF(Tabla1[Nombre completo],Clientes[[#This Row],[nombre]])</f>
        <v>2</v>
      </c>
      <c r="F41">
        <f>COUNTIF(Tabla1[Direcciòn],Clientes[[#This Row],[Domicilio]])</f>
        <v>2</v>
      </c>
      <c r="G41" s="116" t="str" cm="1">
        <f t="array" ref="G41">UnirPedidos(Clientes[[#This Row],[nombre]],Tabla1[Nombre completo],Tabla1[Pedido])</f>
        <v xml:space="preserve">3 Latas de corona y 3 latas victoria , 4 caguamas </v>
      </c>
    </row>
    <row r="42" spans="2:7" x14ac:dyDescent="0.25">
      <c r="B42" s="3" t="s">
        <v>1324</v>
      </c>
      <c r="C42" t="s">
        <v>1325</v>
      </c>
      <c r="D42" t="s">
        <v>1326</v>
      </c>
      <c r="E42">
        <f>COUNTIF(Tabla1[Nombre completo],Clientes[[#This Row],[nombre]])</f>
        <v>2</v>
      </c>
      <c r="F42">
        <f>COUNTIF(Tabla1[Direcciòn],Clientes[[#This Row],[Domicilio]])</f>
        <v>2</v>
      </c>
      <c r="G42" s="116" t="str" cm="1">
        <f t="array" ref="G42">UnirPedidos(Clientes[[#This Row],[nombre]],Tabla1[Nombre completo],Tabla1[Pedido])</f>
        <v xml:space="preserve">servicio de limpieza , Servicio Limpieza </v>
      </c>
    </row>
    <row r="43" spans="2:7" x14ac:dyDescent="0.25">
      <c r="B43" s="3" t="s">
        <v>194</v>
      </c>
      <c r="D43" t="s">
        <v>1400</v>
      </c>
      <c r="E43">
        <f>COUNTIF(Tabla1[Nombre completo],Clientes[[#This Row],[nombre]])</f>
        <v>2</v>
      </c>
      <c r="F43">
        <f>COUNTIF(Tabla1[Direcciòn],Clientes[[#This Row],[Domicilio]])</f>
        <v>0</v>
      </c>
      <c r="G43" s="116" t="str" cm="1">
        <f t="array" ref="G43">UnirPedidos(Clientes[[#This Row],[nombre]],Tabla1[Nombre completo],Tabla1[Pedido])</f>
        <v>Un sprite de 600 ml ,$15 pesos de limón ,dos cebollas ,, Un sprite de 600 ml ,$15 pesos de limón ,dos cebollas ,</v>
      </c>
    </row>
    <row r="44" spans="2:7" x14ac:dyDescent="0.25">
      <c r="B44" s="3" t="s">
        <v>1301</v>
      </c>
      <c r="C44" t="s">
        <v>1302</v>
      </c>
      <c r="D44" t="s">
        <v>1303</v>
      </c>
      <c r="E44">
        <f>COUNTIF(Tabla1[Nombre completo],Clientes[[#This Row],[nombre]])</f>
        <v>2</v>
      </c>
      <c r="F44">
        <f>COUNTIF(Tabla1[Direcciòn],Clientes[[#This Row],[Domicilio]])</f>
        <v>0</v>
      </c>
      <c r="G44" s="116" t="str" cm="1">
        <f t="array" ref="G44">UnirPedidos(Clientes[[#This Row],[nombre]],Tabla1[Nombre completo],Tabla1[Pedido])</f>
        <v xml:space="preserve">3 hamburgesas , 5 HAMBURGESAS </v>
      </c>
    </row>
    <row r="45" spans="2:7" x14ac:dyDescent="0.25">
      <c r="B45" s="3" t="s">
        <v>158</v>
      </c>
      <c r="C45">
        <v>5513017156</v>
      </c>
      <c r="D45" t="s">
        <v>199</v>
      </c>
      <c r="E45">
        <f>COUNTIF(Tabla1[Nombre completo],Clientes[[#This Row],[nombre]])</f>
        <v>2</v>
      </c>
      <c r="F45">
        <f>COUNTIF(Tabla1[Direcciòn],Clientes[[#This Row],[Domicilio]])</f>
        <v>1</v>
      </c>
      <c r="G45" s="116" t="str" cm="1">
        <f t="array" ref="G45">UnirPedidos(Clientes[[#This Row],[nombre]],Tabla1[Nombre completo],Tabla1[Pedido])</f>
        <v xml:space="preserve">4 hamburgesas , 1 leche clavel, 1 galletas marias, 1/2 limon, 1 lechera, 5 hamburgesas </v>
      </c>
    </row>
    <row r="46" spans="2:7" x14ac:dyDescent="0.25">
      <c r="B46" s="3" t="s">
        <v>205</v>
      </c>
      <c r="C46">
        <v>5511943073</v>
      </c>
      <c r="D46" t="s">
        <v>206</v>
      </c>
      <c r="E46">
        <f>COUNTIF(Tabla1[Nombre completo],Clientes[[#This Row],[nombre]])</f>
        <v>2</v>
      </c>
      <c r="F46">
        <f>COUNTIF(Tabla1[Direcciòn],Clientes[[#This Row],[Domicilio]])</f>
        <v>2</v>
      </c>
      <c r="G46" s="116" t="str" cm="1">
        <f t="array" ref="G46">UnirPedidos(Clientes[[#This Row],[nombre]],Tabla1[Nombre completo],Tabla1[Pedido])</f>
        <v>2 cuadernos y un paquete de plumas, 1 crema 1/4 lala</v>
      </c>
    </row>
    <row r="47" spans="2:7" x14ac:dyDescent="0.25">
      <c r="B47" s="3" t="s">
        <v>382</v>
      </c>
      <c r="C47" t="s">
        <v>383</v>
      </c>
      <c r="D47" t="s">
        <v>384</v>
      </c>
      <c r="E47">
        <f>COUNTIF(Tabla1[Nombre completo],Clientes[[#This Row],[nombre]])</f>
        <v>2</v>
      </c>
      <c r="F47">
        <f>COUNTIF(Tabla1[Direcciòn],Clientes[[#This Row],[Domicilio]])</f>
        <v>2</v>
      </c>
      <c r="G47" s="116" t="str" cm="1">
        <f t="array" ref="G47">UnirPedidos(Clientes[[#This Row],[nombre]],Tabla1[Nombre completo],Tabla1[Pedido])</f>
        <v>1 hilo de cocina , Un 24 de victorias,Unos marlboro blancosy unos 100 rojosa</v>
      </c>
    </row>
    <row r="48" spans="2:7" x14ac:dyDescent="0.25">
      <c r="B48" s="3" t="s">
        <v>417</v>
      </c>
      <c r="D48" s="60" t="s">
        <v>416</v>
      </c>
      <c r="E48">
        <f>COUNTIF(Tabla1[Nombre completo],Clientes[[#This Row],[nombre]])</f>
        <v>3</v>
      </c>
      <c r="F48">
        <f>COUNTIF(Tabla1[Direcciòn],Clientes[[#This Row],[Domicilio]])</f>
        <v>3</v>
      </c>
      <c r="G48" s="116" t="str" cm="1">
        <f t="array" ref="G48">UnirPedidos(Clientes[[#This Row],[nombre]],Tabla1[Nombre completo],Tabla1[Pedido])</f>
        <v xml:space="preserve">1 garrafon 20l bona, 2 garrafones de agua de 20l rellenafos, 1 garrafon de bonafont </v>
      </c>
    </row>
    <row r="49" spans="2:7" x14ac:dyDescent="0.25">
      <c r="B49" s="3" t="s">
        <v>235</v>
      </c>
      <c r="D49" s="60" t="s">
        <v>284</v>
      </c>
      <c r="E49">
        <f>COUNTIF(Tabla1[Nombre completo],Clientes[[#This Row],[nombre]])</f>
        <v>1</v>
      </c>
      <c r="F49">
        <f>COUNTIF(Tabla1[Direcciòn],Clientes[[#This Row],[Domicilio]])</f>
        <v>1</v>
      </c>
      <c r="G49" s="116" t="str" cm="1">
        <f t="array" ref="G49">UnirPedidos(Clientes[[#This Row],[nombre]],Tabla1[Nombre completo],Tabla1[Pedido])</f>
        <v>1/2 Kg limon, tostadas salmas</v>
      </c>
    </row>
    <row r="50" spans="2:7" x14ac:dyDescent="0.25">
      <c r="B50" s="3" t="s">
        <v>22</v>
      </c>
      <c r="D50" s="60" t="s">
        <v>23</v>
      </c>
      <c r="E50">
        <f>COUNTIF(Tabla1[Nombre completo],Clientes[[#This Row],[nombre]])</f>
        <v>2</v>
      </c>
      <c r="F50">
        <f>COUNTIF(Tabla1[Direcciòn],Clientes[[#This Row],[Domicilio]])</f>
        <v>2</v>
      </c>
      <c r="G50" s="116" t="str" cm="1">
        <f t="array" ref="G50">UnirPedidos(Clientes[[#This Row],[nombre]],Tabla1[Nombre completo],Tabla1[Pedido])</f>
        <v>subir despensa, 1 paquete de pañales j, 1 marucha de pollo</v>
      </c>
    </row>
    <row r="51" spans="2:7" x14ac:dyDescent="0.25">
      <c r="B51" s="3" t="s">
        <v>219</v>
      </c>
      <c r="D51" s="60" t="s">
        <v>266</v>
      </c>
      <c r="E51">
        <f>COUNTIF(Tabla1[Nombre completo],Clientes[[#This Row],[nombre]])</f>
        <v>1</v>
      </c>
      <c r="F51">
        <f>COUNTIF(Tabla1[Direcciòn],Clientes[[#This Row],[Domicilio]])</f>
        <v>1</v>
      </c>
      <c r="G51" s="116" t="str" cm="1">
        <f t="array" ref="G51">UnirPedidos(Clientes[[#This Row],[nombre]],Tabla1[Nombre completo],Tabla1[Pedido])</f>
        <v xml:space="preserve">2 paquetes de mantecadas,2 cocas, 1 tostadas, 1 pan molido , </v>
      </c>
    </row>
    <row r="52" spans="2:7" x14ac:dyDescent="0.25">
      <c r="B52" s="3" t="s">
        <v>422</v>
      </c>
      <c r="D52" s="60" t="s">
        <v>421</v>
      </c>
      <c r="E52">
        <f>COUNTIF(Tabla1[Nombre completo],Clientes[[#This Row],[nombre]])</f>
        <v>1</v>
      </c>
      <c r="F52">
        <f>COUNTIF(Tabla1[Direcciòn],Clientes[[#This Row],[Domicilio]])</f>
        <v>1</v>
      </c>
      <c r="G52" s="116" t="str" cm="1">
        <f t="array" ref="G52">UnirPedidos(Clientes[[#This Row],[nombre]],Tabla1[Nombre completo],Tabla1[Pedido])</f>
        <v>Plastico para envolver</v>
      </c>
    </row>
    <row r="53" spans="2:7" x14ac:dyDescent="0.25">
      <c r="B53" s="3" t="s">
        <v>185</v>
      </c>
      <c r="D53" s="60" t="s">
        <v>186</v>
      </c>
      <c r="E53">
        <f>COUNTIF(Tabla1[Nombre completo],Clientes[[#This Row],[nombre]])</f>
        <v>1</v>
      </c>
      <c r="F53">
        <f>COUNTIF(Tabla1[Direcciòn],Clientes[[#This Row],[Domicilio]])</f>
        <v>1</v>
      </c>
      <c r="G53" s="116" t="str" cm="1">
        <f t="array" ref="G53">UnirPedidos(Clientes[[#This Row],[nombre]],Tabla1[Nombre completo],Tabla1[Pedido])</f>
        <v>Un agua de frutos rojos bonafont, 1 takis dragon si no hay morados , 1 chetos torciditos 1 rufles doritos ,1 doritos negros</v>
      </c>
    </row>
    <row r="54" spans="2:7" x14ac:dyDescent="0.25">
      <c r="B54" s="3" t="s">
        <v>1117</v>
      </c>
      <c r="C54" t="s">
        <v>1118</v>
      </c>
      <c r="D54" s="60" t="s">
        <v>1119</v>
      </c>
      <c r="E54">
        <f>COUNTIF(Tabla1[Nombre completo],Clientes[[#This Row],[nombre]])</f>
        <v>1</v>
      </c>
      <c r="F54">
        <f>COUNTIF(Tabla1[Direcciòn],Clientes[[#This Row],[Domicilio]])</f>
        <v>1</v>
      </c>
      <c r="G54" s="116" t="str" cm="1">
        <f t="array" ref="G54">UnirPedidos(Clientes[[#This Row],[nombre]],Tabla1[Nombre completo],Tabla1[Pedido])</f>
        <v xml:space="preserve">1k de molida </v>
      </c>
    </row>
    <row r="55" spans="2:7" ht="23.25" x14ac:dyDescent="0.25">
      <c r="B55" s="3" t="s">
        <v>1143</v>
      </c>
      <c r="C55" t="s">
        <v>1144</v>
      </c>
      <c r="D55" t="s">
        <v>1145</v>
      </c>
      <c r="E55">
        <f>COUNTIF(Tabla1[Nombre completo],Clientes[[#This Row],[nombre]])</f>
        <v>4</v>
      </c>
      <c r="F55">
        <f>COUNTIF(Tabla1[Direcciòn],Clientes[[#This Row],[Domicilio]])</f>
        <v>4</v>
      </c>
      <c r="G55" s="116" t="str" cm="1">
        <f t="array" ref="G55">UnirPedidos(Clientes[[#This Row],[nombre]],Tabla1[Nombre completo],Tabla1[Pedido])</f>
        <v>4 cocas de 2.5L ret, 3 cocas retornables,1 cigarros de clavo, 6 jitomates ,3 coca de 3 litros,1 kilo de tortillas,una pechuga partida en dos , 4 cocas de 3l</v>
      </c>
    </row>
    <row r="56" spans="2:7" x14ac:dyDescent="0.25">
      <c r="B56" s="3" t="s">
        <v>1191</v>
      </c>
      <c r="C56" t="s">
        <v>1192</v>
      </c>
      <c r="D56" t="s">
        <v>1193</v>
      </c>
      <c r="E56">
        <f>COUNTIF(Tabla1[Nombre completo],Clientes[[#This Row],[nombre]])</f>
        <v>1</v>
      </c>
      <c r="F56">
        <f>COUNTIF(Tabla1[Direcciòn],Clientes[[#This Row],[Domicilio]])</f>
        <v>1</v>
      </c>
      <c r="G56" s="116" t="str" cm="1">
        <f t="array" ref="G56">UnirPedidos(Clientes[[#This Row],[nombre]],Tabla1[Nombre completo],Tabla1[Pedido])</f>
        <v>1 Garrafon bonafotn 20l, coca de 3l, 1 taki, 1 runners</v>
      </c>
    </row>
    <row r="57" spans="2:7" x14ac:dyDescent="0.25">
      <c r="B57" s="3" t="s">
        <v>1215</v>
      </c>
      <c r="C57" t="s">
        <v>1216</v>
      </c>
      <c r="D57" t="s">
        <v>1217</v>
      </c>
      <c r="E57">
        <f>COUNTIF(Tabla1[Nombre completo],Clientes[[#This Row],[nombre]])</f>
        <v>1</v>
      </c>
      <c r="F57">
        <f>COUNTIF(Tabla1[Direcciòn],Clientes[[#This Row],[Domicilio]])</f>
        <v>1</v>
      </c>
      <c r="G57" s="116" t="str" cm="1">
        <f t="array" ref="G57">UnirPedidos(Clientes[[#This Row],[nombre]],Tabla1[Nombre completo],Tabla1[Pedido])</f>
        <v>5 tacos de birria, 1 consome, 1 coca de 1.25</v>
      </c>
    </row>
    <row r="58" spans="2:7" x14ac:dyDescent="0.25">
      <c r="B58" s="3" t="s">
        <v>1234</v>
      </c>
      <c r="C58" t="s">
        <v>1235</v>
      </c>
      <c r="D58" t="s">
        <v>1236</v>
      </c>
      <c r="E58">
        <f>COUNTIF(Tabla1[Nombre completo],Clientes[[#This Row],[nombre]])</f>
        <v>1</v>
      </c>
      <c r="F58">
        <f>COUNTIF(Tabla1[Direcciòn],Clientes[[#This Row],[Domicilio]])</f>
        <v>1</v>
      </c>
      <c r="G58" s="116" t="str" cm="1">
        <f t="array" ref="G58">UnirPedidos(Clientes[[#This Row],[nombre]],Tabla1[Nombre completo],Tabla1[Pedido])</f>
        <v>2 chiken beak</v>
      </c>
    </row>
    <row r="59" spans="2:7" x14ac:dyDescent="0.25">
      <c r="B59" s="3" t="s">
        <v>1348</v>
      </c>
      <c r="C59" t="s">
        <v>1349</v>
      </c>
      <c r="D59" t="s">
        <v>1350</v>
      </c>
      <c r="E59">
        <f>COUNTIF(Tabla1[Nombre completo],Clientes[[#This Row],[nombre]])</f>
        <v>3</v>
      </c>
      <c r="F59">
        <f>COUNTIF(Tabla1[Direcciòn],Clientes[[#This Row],[Domicilio]])</f>
        <v>3</v>
      </c>
      <c r="G59" s="116" t="str" cm="1">
        <f t="array" ref="G59">UnirPedidos(Clientes[[#This Row],[nombre]],Tabla1[Nombre completo],Tabla1[Pedido])</f>
        <v>2 cocas de 1.25,1 ruffles verdes, 1 hot nuts, 3 cocas de 1.25, 2 cocas de 1,35 ,1 fritos de chile,1 ruffles verdes 1 azules, 1 pingunos marinela</v>
      </c>
    </row>
    <row r="60" spans="2:7" x14ac:dyDescent="0.25">
      <c r="B60" s="3" t="s">
        <v>1366</v>
      </c>
      <c r="C60" t="s">
        <v>1367</v>
      </c>
      <c r="D60" t="s">
        <v>1368</v>
      </c>
      <c r="E60">
        <f>COUNTIF(Tabla1[Nombre completo],Clientes[[#This Row],[nombre]])</f>
        <v>1</v>
      </c>
      <c r="F60">
        <f>COUNTIF(Tabla1[Direcciòn],Clientes[[#This Row],[Domicilio]])</f>
        <v>1</v>
      </c>
      <c r="G60" s="116" t="str" cm="1">
        <f t="array" ref="G60">UnirPedidos(Clientes[[#This Row],[nombre]],Tabla1[Nombre completo],Tabla1[Pedido])</f>
        <v>4 PASTILLAS buscapina , Bactoprim- trimetoprima Sulfametoxazol- 160 Mg. Y 800 m</v>
      </c>
    </row>
    <row r="61" spans="2:7" x14ac:dyDescent="0.25">
      <c r="B61" s="3" t="s">
        <v>1387</v>
      </c>
      <c r="C61" t="s">
        <v>1388</v>
      </c>
      <c r="D61" t="s">
        <v>1389</v>
      </c>
      <c r="E61">
        <f>COUNTIF(Tabla1[Nombre completo],Clientes[[#This Row],[nombre]])</f>
        <v>1</v>
      </c>
      <c r="F61">
        <f>COUNTIF(Tabla1[Direcciòn],Clientes[[#This Row],[Domicilio]])</f>
        <v>1</v>
      </c>
      <c r="G61" s="116" t="str" cm="1">
        <f t="array" ref="G61">UnirPedidos(Clientes[[#This Row],[nombre]],Tabla1[Nombre completo],Tabla1[Pedido])</f>
        <v>1 pinguinois de 3, 1.5 de leche lala</v>
      </c>
    </row>
    <row r="62" spans="2:7" x14ac:dyDescent="0.25">
      <c r="B62" s="3" t="s">
        <v>229</v>
      </c>
      <c r="D62" t="s">
        <v>229</v>
      </c>
      <c r="E62">
        <f>COUNTIF(Tabla1[Nombre completo],Clientes[[#This Row],[nombre]])</f>
        <v>1</v>
      </c>
      <c r="F62">
        <f>COUNTIF(Tabla1[Direcciòn],Clientes[[#This Row],[Domicilio]])</f>
        <v>0</v>
      </c>
      <c r="G62" s="116" t="str" cm="1">
        <f t="array" ref="G62">UnirPedidos(Clientes[[#This Row],[nombre]],Tabla1[Nombre completo],Tabla1[Pedido])</f>
        <v xml:space="preserve">10l de leche alpura </v>
      </c>
    </row>
    <row r="63" spans="2:7" x14ac:dyDescent="0.25">
      <c r="B63" s="3" t="s">
        <v>142</v>
      </c>
      <c r="D63">
        <v>42</v>
      </c>
      <c r="E63">
        <f>COUNTIF(Tabla1[Nombre completo],Clientes[[#This Row],[nombre]])</f>
        <v>1</v>
      </c>
      <c r="F63">
        <f>COUNTIF(Tabla1[Direcciòn],Clientes[[#This Row],[Domicilio]])</f>
        <v>1</v>
      </c>
      <c r="G63" s="116" t="str" cm="1">
        <f t="array" ref="G63">UnirPedidos(Clientes[[#This Row],[nombre]],Tabla1[Nombre completo],Tabla1[Pedido])</f>
        <v>40 de croquetas, 10 de retazo, un arroz,</v>
      </c>
    </row>
    <row r="64" spans="2:7" ht="34.5" x14ac:dyDescent="0.25">
      <c r="B64" s="3" t="s">
        <v>375</v>
      </c>
      <c r="C64" t="s">
        <v>376</v>
      </c>
      <c r="D64" t="s">
        <v>377</v>
      </c>
      <c r="E64">
        <f>COUNTIF(Tabla1[Nombre completo],Clientes[[#This Row],[nombre]])</f>
        <v>3</v>
      </c>
      <c r="F64">
        <f>COUNTIF(Tabla1[Direcciòn],Clientes[[#This Row],[Domicilio]])</f>
        <v>3</v>
      </c>
      <c r="G64" s="116" t="str" cm="1">
        <f t="array" ref="G64">UnirPedidos(Clientes[[#This Row],[nombre]],Tabla1[Nombre completo],Tabla1[Pedido])</f>
        <v>Una arena de gato scoop away y una galletota de la fuente de sodas, 2 aguacate,1/2 de jamón de pierna,2 cocas de vidrio de 500,2 fuze tés durazno ,1/4 manchego, 34 sobres de perro, 3 botes defuze tea 1.80L, 1 costal arena para gato, 2 maruchas de res, 1/4 jamon pàvo, 2 empaques yakult, 1 chamoy, 1 salsa botanera, 1 caja de chocolates turin bayleys,1 dip jalapeño, 1 lata de jalapeños, 1 tostitos verdes</v>
      </c>
    </row>
    <row r="65" spans="2:7" x14ac:dyDescent="0.25">
      <c r="B65" s="3" t="s">
        <v>1453</v>
      </c>
      <c r="C65" t="s">
        <v>1454</v>
      </c>
      <c r="D65" t="s">
        <v>1455</v>
      </c>
      <c r="E65">
        <f>COUNTIF(Tabla1[Nombre completo],Clientes[[#This Row],[nombre]])</f>
        <v>2</v>
      </c>
      <c r="F65">
        <f>COUNTIF(Tabla1[Direcciòn],Clientes[[#This Row],[Domicilio]])</f>
        <v>2</v>
      </c>
      <c r="G65" s="116" t="str" cm="1">
        <f t="array" ref="G65">UnirPedidos(Clientes[[#This Row],[nombre]],Tabla1[Nombre completo],Tabla1[Pedido])</f>
        <v>1 Queso Panela Covadonga, 1 queso panela,1 bolsa de verduras,2 chiken baeck</v>
      </c>
    </row>
    <row r="66" spans="2:7" x14ac:dyDescent="0.25">
      <c r="B66" s="3" t="s">
        <v>1483</v>
      </c>
      <c r="C66">
        <v>5523279972</v>
      </c>
      <c r="D66" t="s">
        <v>1484</v>
      </c>
      <c r="E66">
        <f>COUNTIF(Tabla1[Nombre completo],Clientes[[#This Row],[nombre]])</f>
        <v>1</v>
      </c>
      <c r="F66">
        <f>COUNTIF(Tabla1[Direcciòn],Clientes[[#This Row],[Domicilio]])</f>
        <v>1</v>
      </c>
      <c r="G66" s="116" t="str" cm="1">
        <f t="array" ref="G66">UnirPedidos(Clientes[[#This Row],[nombre]],Tabla1[Nombre completo],Tabla1[Pedido])</f>
        <v>1 Coca, 1/2 ate. 1/2 kg oaxaca</v>
      </c>
    </row>
    <row r="67" spans="2:7" x14ac:dyDescent="0.25">
      <c r="B67" s="3" t="s">
        <v>1489</v>
      </c>
      <c r="C67">
        <v>5624145393</v>
      </c>
      <c r="D67" t="s">
        <v>1490</v>
      </c>
      <c r="E67">
        <f>COUNTIF(Tabla1[Nombre completo],Clientes[[#This Row],[nombre]])</f>
        <v>1</v>
      </c>
      <c r="F67">
        <f>COUNTIF(Tabla1[Direcciòn],Clientes[[#This Row],[Domicilio]])</f>
        <v>1</v>
      </c>
      <c r="G67" s="116" t="str" cm="1">
        <f t="array" ref="G67">UnirPedidos(Clientes[[#This Row],[nombre]],Tabla1[Nombre completo],Tabla1[Pedido])</f>
        <v>1 cartulina lila. 1 cartulina negra</v>
      </c>
    </row>
    <row r="68" spans="2:7" x14ac:dyDescent="0.25">
      <c r="B68" s="3"/>
      <c r="E68">
        <f>COUNTIF(Tabla1[Nombre completo],Clientes[[#This Row],[nombre]])</f>
        <v>1</v>
      </c>
      <c r="F68">
        <f>COUNTIF(Tabla1[Direcciòn],Clientes[[#This Row],[Domicilio]])</f>
        <v>0</v>
      </c>
      <c r="G68" s="116" t="str" cm="1">
        <f t="array" ref="G68">UnirPedidos(Clientes[[#This Row],[nombre]],Tabla1[Nombre completo],Tabla1[Pedido])</f>
        <v/>
      </c>
    </row>
    <row r="69" spans="2:7" x14ac:dyDescent="0.25">
      <c r="B69" s="3" t="s">
        <v>1507</v>
      </c>
      <c r="C69" t="s">
        <v>1508</v>
      </c>
      <c r="D69" t="s">
        <v>1509</v>
      </c>
      <c r="E69">
        <f>COUNTIF(Tabla1[Nombre completo],Clientes[[#This Row],[nombre]])</f>
        <v>1</v>
      </c>
      <c r="F69">
        <f>COUNTIF(Tabla1[Direcciòn],Clientes[[#This Row],[Domicilio]])</f>
        <v>1</v>
      </c>
      <c r="G69" s="116" t="str" cm="1">
        <f t="array" ref="G69">UnirPedidos(Clientes[[#This Row],[nombre]],Tabla1[Nombre completo],Tabla1[Pedido])</f>
        <v>6 latas victoria,5 cigarros</v>
      </c>
    </row>
    <row r="70" spans="2:7" x14ac:dyDescent="0.25">
      <c r="B70" s="3" t="s">
        <v>1513</v>
      </c>
      <c r="C70" t="s">
        <v>1514</v>
      </c>
      <c r="D70" t="s">
        <v>1515</v>
      </c>
      <c r="E70">
        <f>COUNTIF(Tabla1[Nombre completo],Clientes[[#This Row],[nombre]])</f>
        <v>2</v>
      </c>
      <c r="F70">
        <f>COUNTIF(Tabla1[Direcciòn],Clientes[[#This Row],[Domicilio]])</f>
        <v>2</v>
      </c>
      <c r="G70" s="116" t="str" cm="1">
        <f t="array" ref="G70">UnirPedidos(Clientes[[#This Row],[nombre]],Tabla1[Nombre completo],Tabla1[Pedido])</f>
        <v>1 coica de 3l, 1 sprit de 2lk</v>
      </c>
    </row>
    <row r="71" spans="2:7" x14ac:dyDescent="0.25">
      <c r="B71" s="3" t="s">
        <v>1522</v>
      </c>
      <c r="C71" t="s">
        <v>383</v>
      </c>
      <c r="D71" t="s">
        <v>384</v>
      </c>
      <c r="E71">
        <f>COUNTIF(Tabla1[Nombre completo],Clientes[[#This Row],[nombre]])</f>
        <v>0</v>
      </c>
      <c r="F71">
        <f>COUNTIF(Tabla1[Direcciòn],Clientes[[#This Row],[Domicilio]])</f>
        <v>2</v>
      </c>
      <c r="G71" s="116" t="str" cm="1">
        <f t="array" ref="G71">UnirPedidos(Clientes[[#This Row],[nombre]],Tabla1[Nombre completo],Tabla1[Pedido])</f>
        <v/>
      </c>
    </row>
    <row r="72" spans="2:7" ht="23.25" x14ac:dyDescent="0.25">
      <c r="B72" s="3" t="s">
        <v>1527</v>
      </c>
      <c r="C72" t="s">
        <v>1528</v>
      </c>
      <c r="D72" t="s">
        <v>1529</v>
      </c>
      <c r="E72">
        <f>COUNTIF(Tabla1[Nombre completo],Clientes[[#This Row],[nombre]])</f>
        <v>3</v>
      </c>
      <c r="F72">
        <f>COUNTIF(Tabla1[Direcciòn],Clientes[[#This Row],[Domicilio]])</f>
        <v>3</v>
      </c>
      <c r="G72" s="116" t="str" cm="1">
        <f t="array" ref="G72">UnirPedidos(Clientes[[#This Row],[nombre]],Tabla1[Nombre completo],Tabla1[Pedido])</f>
        <v>2 garrafones bonafont 20l, 2 muslos de pollo, 2 zanahorias, 1 chayote 2 calabazas, 1 ramito de yerbabuena, 1 ramito de cilantro, 1 cubito de norsuiza, 1 pegamento líquido resistol blanco 850 chiquito, 1 bolsa de jamaica, 1 pepino, termómetro</v>
      </c>
    </row>
    <row r="73" spans="2:7" x14ac:dyDescent="0.25">
      <c r="B73" s="3" t="s">
        <v>1537</v>
      </c>
      <c r="C73" t="s">
        <v>1538</v>
      </c>
      <c r="D73" t="s">
        <v>1539</v>
      </c>
      <c r="E73">
        <f>COUNTIF(Tabla1[Nombre completo],Clientes[[#This Row],[nombre]])</f>
        <v>2</v>
      </c>
      <c r="F73">
        <f>COUNTIF(Tabla1[Direcciòn],Clientes[[#This Row],[Domicilio]])</f>
        <v>1</v>
      </c>
      <c r="G73" s="116" t="str" cm="1">
        <f t="array" ref="G73">UnirPedidos(Clientes[[#This Row],[nombre]],Tabla1[Nombre completo],Tabla1[Pedido])</f>
        <v xml:space="preserve">1 carton corona 24,5 boings,5 papas </v>
      </c>
    </row>
    <row r="74" spans="2:7" x14ac:dyDescent="0.25">
      <c r="B74" s="3" t="s">
        <v>1602</v>
      </c>
      <c r="C74" t="s">
        <v>1603</v>
      </c>
      <c r="D74" t="s">
        <v>1604</v>
      </c>
      <c r="E74">
        <f>COUNTIF(Tabla1[Nombre completo],Clientes[[#This Row],[nombre]])</f>
        <v>0</v>
      </c>
      <c r="F74">
        <f>COUNTIF(Tabla1[Direcciòn],Clientes[[#This Row],[Domicilio]])</f>
        <v>0</v>
      </c>
      <c r="G74" s="116" t="str" cm="1">
        <f t="array" ref="G74">UnirPedidos(Clientes[[#This Row],[nombre]],Tabla1[Nombre completo],Tabla1[Pedido])</f>
        <v/>
      </c>
    </row>
    <row r="75" spans="2:7" x14ac:dyDescent="0.25">
      <c r="B75" s="3" t="s">
        <v>1617</v>
      </c>
      <c r="C75" t="s">
        <v>1618</v>
      </c>
      <c r="D75" t="s">
        <v>1619</v>
      </c>
      <c r="E75">
        <f>COUNTIF(Tabla1[Nombre completo],Clientes[[#This Row],[nombre]])</f>
        <v>1</v>
      </c>
      <c r="F75">
        <f>COUNTIF(Tabla1[Direcciòn],Clientes[[#This Row],[Domicilio]])</f>
        <v>1</v>
      </c>
      <c r="G75" s="116" t="str" cm="1">
        <f t="array" ref="G75">UnirPedidos(Clientes[[#This Row],[nombre]],Tabla1[Nombre completo],Tabla1[Pedido])</f>
        <v xml:space="preserve">1 carbanon bolsa </v>
      </c>
    </row>
    <row r="76" spans="2:7" x14ac:dyDescent="0.25">
      <c r="B76" s="3" t="s">
        <v>1650</v>
      </c>
      <c r="D76" t="s">
        <v>1651</v>
      </c>
      <c r="E76">
        <f>COUNTIF(Tabla1[Nombre completo],Clientes[[#This Row],[nombre]])</f>
        <v>1</v>
      </c>
      <c r="F76">
        <f>COUNTIF(Tabla1[Direcciòn],Clientes[[#This Row],[Domicilio]])</f>
        <v>1</v>
      </c>
      <c r="G76" s="116" t="str" cm="1">
        <f t="array" ref="G76">UnirPedidos(Clientes[[#This Row],[nombre]],Tabla1[Nombre completo],Tabla1[Pedido])</f>
        <v>1 Peñafiel 2L fresada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7BCCC-AF7D-4B26-9F75-37CC14791D41}">
  <sheetPr codeName="Hoja1"/>
  <dimension ref="A1:S883"/>
  <sheetViews>
    <sheetView topLeftCell="A2" zoomScale="85" zoomScaleNormal="85" workbookViewId="0">
      <selection activeCell="D11" sqref="A11:D11"/>
    </sheetView>
  </sheetViews>
  <sheetFormatPr baseColWidth="10" defaultRowHeight="15" x14ac:dyDescent="0.25"/>
  <cols>
    <col min="1" max="1" width="18.42578125" customWidth="1"/>
    <col min="2" max="3" width="19.28515625" customWidth="1"/>
    <col min="4" max="4" width="16.140625" customWidth="1"/>
    <col min="6" max="6" width="17.7109375" customWidth="1"/>
    <col min="7" max="7" width="17.5703125" customWidth="1"/>
    <col min="8" max="8" width="12.28515625" customWidth="1"/>
    <col min="10" max="10" width="12" customWidth="1"/>
    <col min="12" max="12" width="11.42578125" customWidth="1"/>
  </cols>
  <sheetData>
    <row r="1" spans="1:13" x14ac:dyDescent="0.25">
      <c r="A1" s="37"/>
    </row>
    <row r="2" spans="1:13" x14ac:dyDescent="0.25">
      <c r="D2" s="52" t="str">
        <f>IF(COUNTA(Tabla1[Fecha y Hora])=COUNTA(Tabla9[Propina]),"Todo en Orden","Falta completar pedidos")</f>
        <v>Todo en Orden</v>
      </c>
    </row>
    <row r="3" spans="1:13" x14ac:dyDescent="0.25">
      <c r="G3" t="s">
        <v>53</v>
      </c>
    </row>
    <row r="7" spans="1:13" ht="46.5" x14ac:dyDescent="0.7">
      <c r="B7" s="2" t="s">
        <v>4</v>
      </c>
      <c r="F7" s="2" t="s">
        <v>5</v>
      </c>
    </row>
    <row r="9" spans="1:13" x14ac:dyDescent="0.25">
      <c r="A9" s="40" t="s">
        <v>3</v>
      </c>
      <c r="B9" s="47" t="s">
        <v>0</v>
      </c>
      <c r="C9" s="47" t="s">
        <v>1</v>
      </c>
      <c r="D9" s="47" t="s">
        <v>2</v>
      </c>
      <c r="E9" s="44" t="s">
        <v>209</v>
      </c>
      <c r="F9" s="45" t="s">
        <v>6</v>
      </c>
      <c r="G9" s="44" t="s">
        <v>971</v>
      </c>
      <c r="H9" s="46" t="s">
        <v>7</v>
      </c>
      <c r="I9" s="46" t="s">
        <v>9</v>
      </c>
      <c r="J9" s="46" t="s">
        <v>10</v>
      </c>
      <c r="K9" s="46" t="s">
        <v>8</v>
      </c>
      <c r="L9" t="s">
        <v>57</v>
      </c>
    </row>
    <row r="10" spans="1:13" ht="15.75" customHeight="1" x14ac:dyDescent="0.25">
      <c r="A10" s="90">
        <v>45786.634120370371</v>
      </c>
      <c r="B10" s="3" t="s">
        <v>375</v>
      </c>
      <c r="C10" s="60" t="s">
        <v>377</v>
      </c>
      <c r="D10" s="61" t="s">
        <v>1657</v>
      </c>
      <c r="E10" s="43" t="s">
        <v>1049</v>
      </c>
      <c r="F10" s="48" t="s">
        <v>14</v>
      </c>
      <c r="G10" s="44" t="s">
        <v>1658</v>
      </c>
      <c r="H10" s="38">
        <v>586</v>
      </c>
      <c r="I10" s="38">
        <v>10</v>
      </c>
      <c r="J10" s="38">
        <v>40</v>
      </c>
      <c r="K10" s="38">
        <v>636</v>
      </c>
    </row>
    <row r="11" spans="1:13" x14ac:dyDescent="0.25">
      <c r="A11" s="90">
        <v>45785.863113425927</v>
      </c>
      <c r="B11" s="3" t="s">
        <v>347</v>
      </c>
      <c r="C11" s="60" t="s">
        <v>349</v>
      </c>
      <c r="D11" s="61" t="s">
        <v>1654</v>
      </c>
      <c r="E11" s="43" t="s">
        <v>1655</v>
      </c>
      <c r="F11" s="48" t="s">
        <v>14</v>
      </c>
      <c r="G11" s="44" t="s">
        <v>1656</v>
      </c>
      <c r="H11" s="38">
        <v>339</v>
      </c>
      <c r="I11" s="38">
        <v>0</v>
      </c>
      <c r="J11" s="38">
        <v>35</v>
      </c>
      <c r="K11" s="38">
        <v>374</v>
      </c>
    </row>
    <row r="12" spans="1:13" ht="17.25" customHeight="1" x14ac:dyDescent="0.25">
      <c r="A12" s="90">
        <v>45785.822569444441</v>
      </c>
      <c r="B12" s="3" t="s">
        <v>1650</v>
      </c>
      <c r="C12" s="60" t="s">
        <v>1651</v>
      </c>
      <c r="D12" s="61" t="s">
        <v>1652</v>
      </c>
      <c r="E12" s="43" t="s">
        <v>327</v>
      </c>
      <c r="F12" s="48" t="s">
        <v>25</v>
      </c>
      <c r="G12" s="44" t="s">
        <v>1653</v>
      </c>
      <c r="H12" s="38">
        <v>92</v>
      </c>
      <c r="I12" s="38">
        <v>0</v>
      </c>
      <c r="J12" s="38">
        <v>50</v>
      </c>
      <c r="K12" s="38">
        <v>142</v>
      </c>
      <c r="M12" t="s">
        <v>387</v>
      </c>
    </row>
    <row r="13" spans="1:13" x14ac:dyDescent="0.25">
      <c r="A13" s="90">
        <v>45785.817604166667</v>
      </c>
      <c r="B13" s="3" t="s">
        <v>423</v>
      </c>
      <c r="C13" s="60" t="s">
        <v>311</v>
      </c>
      <c r="D13" s="61" t="s">
        <v>1648</v>
      </c>
      <c r="E13" s="43" t="s">
        <v>327</v>
      </c>
      <c r="F13" s="48" t="s">
        <v>25</v>
      </c>
      <c r="G13" s="44" t="s">
        <v>1649</v>
      </c>
      <c r="H13" s="38">
        <v>142</v>
      </c>
      <c r="I13" s="38">
        <v>0</v>
      </c>
      <c r="J13" s="38">
        <v>25</v>
      </c>
      <c r="K13" s="38">
        <v>167</v>
      </c>
      <c r="M13" t="s">
        <v>389</v>
      </c>
    </row>
    <row r="14" spans="1:13" x14ac:dyDescent="0.25">
      <c r="A14" s="90">
        <v>45785.74728009259</v>
      </c>
      <c r="B14" s="3" t="s">
        <v>211</v>
      </c>
      <c r="C14" s="60" t="s">
        <v>258</v>
      </c>
      <c r="D14" s="61" t="s">
        <v>1646</v>
      </c>
      <c r="E14" s="43" t="s">
        <v>1460</v>
      </c>
      <c r="F14" s="48" t="s">
        <v>25</v>
      </c>
      <c r="G14" s="44" t="s">
        <v>1647</v>
      </c>
      <c r="H14" s="38">
        <v>124</v>
      </c>
      <c r="I14" s="38">
        <v>0</v>
      </c>
      <c r="J14" s="38">
        <v>20</v>
      </c>
      <c r="K14" s="38">
        <v>144</v>
      </c>
      <c r="M14" t="s">
        <v>388</v>
      </c>
    </row>
    <row r="15" spans="1:13" x14ac:dyDescent="0.25">
      <c r="A15" s="90">
        <v>45784.887187499997</v>
      </c>
      <c r="B15" s="3" t="s">
        <v>252</v>
      </c>
      <c r="C15" s="60" t="s">
        <v>289</v>
      </c>
      <c r="D15" s="61" t="s">
        <v>1642</v>
      </c>
      <c r="E15" s="43" t="s">
        <v>323</v>
      </c>
      <c r="F15" s="48" t="s">
        <v>25</v>
      </c>
      <c r="G15" s="44" t="s">
        <v>1643</v>
      </c>
      <c r="H15" s="38">
        <v>27</v>
      </c>
      <c r="I15" s="38">
        <v>0</v>
      </c>
      <c r="J15" s="38">
        <v>20</v>
      </c>
      <c r="K15" s="38">
        <v>47</v>
      </c>
    </row>
    <row r="16" spans="1:13" x14ac:dyDescent="0.25">
      <c r="A16" s="90">
        <v>45784.886157407411</v>
      </c>
      <c r="B16" s="3" t="s">
        <v>22</v>
      </c>
      <c r="C16" s="60" t="s">
        <v>23</v>
      </c>
      <c r="D16" s="61" t="s">
        <v>1640</v>
      </c>
      <c r="E16" s="43" t="s">
        <v>1174</v>
      </c>
      <c r="F16" s="48" t="s">
        <v>25</v>
      </c>
      <c r="G16" s="44" t="s">
        <v>1641</v>
      </c>
      <c r="H16" s="38">
        <v>45</v>
      </c>
      <c r="I16" s="38">
        <v>15</v>
      </c>
      <c r="J16" s="38">
        <v>0</v>
      </c>
      <c r="K16" s="38">
        <v>60</v>
      </c>
    </row>
    <row r="17" spans="1:19" x14ac:dyDescent="0.25">
      <c r="A17" s="90">
        <v>45784.885185185187</v>
      </c>
      <c r="B17" s="3" t="s">
        <v>1002</v>
      </c>
      <c r="C17" s="60" t="s">
        <v>1210</v>
      </c>
      <c r="D17" s="61" t="s">
        <v>1638</v>
      </c>
      <c r="E17" s="43" t="s">
        <v>207</v>
      </c>
      <c r="F17" s="48" t="s">
        <v>25</v>
      </c>
      <c r="G17" s="44" t="s">
        <v>1639</v>
      </c>
      <c r="H17" s="38">
        <v>68</v>
      </c>
      <c r="I17" s="38">
        <v>0</v>
      </c>
      <c r="J17" s="38">
        <v>20</v>
      </c>
      <c r="K17" s="38">
        <v>88</v>
      </c>
    </row>
    <row r="18" spans="1:19" x14ac:dyDescent="0.25">
      <c r="A18" s="90">
        <v>45784.854837962965</v>
      </c>
      <c r="B18" s="3" t="s">
        <v>413</v>
      </c>
      <c r="C18" s="60" t="s">
        <v>272</v>
      </c>
      <c r="D18" s="61" t="s">
        <v>1636</v>
      </c>
      <c r="E18" s="43" t="s">
        <v>327</v>
      </c>
      <c r="F18" s="48" t="s">
        <v>25</v>
      </c>
      <c r="G18" s="44" t="s">
        <v>1637</v>
      </c>
      <c r="H18" s="38">
        <v>208</v>
      </c>
      <c r="I18" s="38">
        <v>0</v>
      </c>
      <c r="J18" s="38">
        <v>20</v>
      </c>
      <c r="K18" s="38">
        <v>228</v>
      </c>
      <c r="M18" t="s">
        <v>1041</v>
      </c>
    </row>
    <row r="19" spans="1:19" x14ac:dyDescent="0.25">
      <c r="A19" s="90">
        <v>45783.652071759258</v>
      </c>
      <c r="B19" s="3" t="s">
        <v>211</v>
      </c>
      <c r="C19" s="60" t="s">
        <v>258</v>
      </c>
      <c r="D19" s="61" t="s">
        <v>1633</v>
      </c>
      <c r="E19" s="43" t="s">
        <v>1634</v>
      </c>
      <c r="F19" s="48" t="s">
        <v>25</v>
      </c>
      <c r="G19" s="44" t="s">
        <v>1635</v>
      </c>
      <c r="H19" s="38">
        <v>210</v>
      </c>
      <c r="I19" s="38">
        <v>0</v>
      </c>
      <c r="J19" s="38">
        <v>20</v>
      </c>
      <c r="K19" s="38">
        <v>230</v>
      </c>
      <c r="M19" t="s">
        <v>1042</v>
      </c>
    </row>
    <row r="20" spans="1:19" x14ac:dyDescent="0.25">
      <c r="A20" s="90">
        <v>45783.63658564815</v>
      </c>
      <c r="B20" s="3" t="s">
        <v>1002</v>
      </c>
      <c r="C20" s="60" t="s">
        <v>1210</v>
      </c>
      <c r="D20" s="61" t="s">
        <v>1631</v>
      </c>
      <c r="E20" s="43" t="s">
        <v>327</v>
      </c>
      <c r="F20" s="48" t="s">
        <v>25</v>
      </c>
      <c r="G20" s="44" t="s">
        <v>1632</v>
      </c>
      <c r="H20" s="38">
        <v>135</v>
      </c>
      <c r="I20" s="38">
        <v>0</v>
      </c>
      <c r="J20" s="38">
        <v>20</v>
      </c>
      <c r="K20" s="38">
        <v>155</v>
      </c>
      <c r="M20" t="s">
        <v>1043</v>
      </c>
    </row>
    <row r="21" spans="1:19" x14ac:dyDescent="0.25">
      <c r="A21" s="90">
        <v>45782.578206018516</v>
      </c>
      <c r="B21" s="3" t="s">
        <v>70</v>
      </c>
      <c r="C21" s="60" t="s">
        <v>425</v>
      </c>
      <c r="D21" s="61" t="s">
        <v>1629</v>
      </c>
      <c r="E21" s="43" t="s">
        <v>327</v>
      </c>
      <c r="F21" s="48" t="s">
        <v>25</v>
      </c>
      <c r="G21" s="44" t="s">
        <v>1630</v>
      </c>
      <c r="H21" s="38">
        <v>173</v>
      </c>
      <c r="I21" s="38">
        <v>0</v>
      </c>
      <c r="J21" s="38">
        <v>20</v>
      </c>
      <c r="K21" s="38">
        <v>193</v>
      </c>
      <c r="M21" t="s">
        <v>1057</v>
      </c>
    </row>
    <row r="22" spans="1:19" x14ac:dyDescent="0.25">
      <c r="A22" s="90">
        <v>45782.567094907405</v>
      </c>
      <c r="B22" s="3" t="s">
        <v>128</v>
      </c>
      <c r="C22" s="60" t="s">
        <v>129</v>
      </c>
      <c r="D22" s="61" t="s">
        <v>1627</v>
      </c>
      <c r="E22" s="43" t="s">
        <v>327</v>
      </c>
      <c r="F22" s="48" t="s">
        <v>25</v>
      </c>
      <c r="G22" s="44" t="s">
        <v>1628</v>
      </c>
      <c r="H22" s="38">
        <v>357</v>
      </c>
      <c r="I22" s="38">
        <v>10</v>
      </c>
      <c r="J22" s="38">
        <v>20</v>
      </c>
      <c r="K22" s="38">
        <v>387</v>
      </c>
    </row>
    <row r="23" spans="1:19" x14ac:dyDescent="0.25">
      <c r="A23" s="90">
        <v>45782.465960648151</v>
      </c>
      <c r="B23" s="3" t="s">
        <v>413</v>
      </c>
      <c r="C23" s="60" t="s">
        <v>272</v>
      </c>
      <c r="D23" s="61" t="s">
        <v>1625</v>
      </c>
      <c r="E23" s="43" t="s">
        <v>327</v>
      </c>
      <c r="F23" s="48" t="s">
        <v>25</v>
      </c>
      <c r="G23" s="44" t="s">
        <v>1626</v>
      </c>
      <c r="H23" s="38">
        <v>362</v>
      </c>
      <c r="I23" s="38">
        <v>20</v>
      </c>
      <c r="J23" s="38">
        <v>20</v>
      </c>
      <c r="K23" s="38">
        <v>400</v>
      </c>
    </row>
    <row r="24" spans="1:19" x14ac:dyDescent="0.25">
      <c r="A24" s="90">
        <v>45778.883402777778</v>
      </c>
      <c r="B24" s="3" t="s">
        <v>70</v>
      </c>
      <c r="C24" s="60" t="s">
        <v>425</v>
      </c>
      <c r="D24" s="61" t="s">
        <v>1622</v>
      </c>
      <c r="E24" s="43" t="s">
        <v>327</v>
      </c>
      <c r="F24" s="48" t="s">
        <v>25</v>
      </c>
      <c r="G24" s="44" t="s">
        <v>1623</v>
      </c>
      <c r="H24" s="38">
        <v>140</v>
      </c>
      <c r="I24" s="38">
        <v>0</v>
      </c>
      <c r="J24" s="38">
        <v>20</v>
      </c>
      <c r="K24" s="38">
        <v>160</v>
      </c>
      <c r="M24" s="51" t="s">
        <v>1500</v>
      </c>
      <c r="N24" s="48" t="s">
        <v>14</v>
      </c>
      <c r="O24" s="122" t="s">
        <v>1501</v>
      </c>
      <c r="P24" s="38">
        <v>1385</v>
      </c>
      <c r="Q24" s="38">
        <v>0</v>
      </c>
      <c r="R24" s="38">
        <v>45</v>
      </c>
      <c r="S24" s="82">
        <v>1430</v>
      </c>
    </row>
    <row r="25" spans="1:19" x14ac:dyDescent="0.25">
      <c r="A25" s="90">
        <v>45778.882465277777</v>
      </c>
      <c r="B25" s="3" t="s">
        <v>1617</v>
      </c>
      <c r="C25" s="60" t="s">
        <v>1619</v>
      </c>
      <c r="D25" s="61" t="s">
        <v>1620</v>
      </c>
      <c r="E25" s="43" t="s">
        <v>1500</v>
      </c>
      <c r="F25" s="48" t="s">
        <v>25</v>
      </c>
      <c r="G25" s="44" t="s">
        <v>1621</v>
      </c>
      <c r="H25" s="38">
        <v>119</v>
      </c>
      <c r="I25" s="38">
        <v>0</v>
      </c>
      <c r="J25" s="38">
        <v>20</v>
      </c>
      <c r="K25" s="38">
        <v>139</v>
      </c>
      <c r="M25" s="51" t="s">
        <v>1497</v>
      </c>
      <c r="N25" s="48" t="s">
        <v>25</v>
      </c>
      <c r="O25" s="122" t="s">
        <v>1498</v>
      </c>
      <c r="P25" s="38">
        <v>43</v>
      </c>
      <c r="Q25" s="38">
        <v>0</v>
      </c>
      <c r="R25" s="38">
        <v>37</v>
      </c>
      <c r="S25" s="82">
        <v>80</v>
      </c>
    </row>
    <row r="26" spans="1:19" x14ac:dyDescent="0.25">
      <c r="A26" s="90">
        <v>45778.878229166665</v>
      </c>
      <c r="B26" s="3" t="s">
        <v>1162</v>
      </c>
      <c r="C26" s="60" t="s">
        <v>1164</v>
      </c>
      <c r="D26" s="61" t="s">
        <v>1615</v>
      </c>
      <c r="E26" s="43" t="s">
        <v>327</v>
      </c>
      <c r="F26" s="48" t="s">
        <v>25</v>
      </c>
      <c r="G26" s="44" t="s">
        <v>1616</v>
      </c>
      <c r="H26" s="38">
        <v>342</v>
      </c>
      <c r="I26" s="38">
        <v>0</v>
      </c>
      <c r="J26" s="38">
        <v>20</v>
      </c>
      <c r="K26" s="38">
        <v>462</v>
      </c>
      <c r="M26" s="51" t="s">
        <v>1494</v>
      </c>
      <c r="N26" s="48" t="s">
        <v>25</v>
      </c>
      <c r="O26" s="122" t="s">
        <v>1495</v>
      </c>
      <c r="P26" s="38">
        <v>120</v>
      </c>
      <c r="Q26" s="38">
        <v>0</v>
      </c>
      <c r="R26" s="38">
        <v>25</v>
      </c>
      <c r="S26" s="82">
        <v>145</v>
      </c>
    </row>
    <row r="27" spans="1:19" x14ac:dyDescent="0.25">
      <c r="A27" s="90">
        <v>45778.874259259261</v>
      </c>
      <c r="B27" s="3" t="s">
        <v>1063</v>
      </c>
      <c r="C27" s="60" t="s">
        <v>1128</v>
      </c>
      <c r="D27" s="61" t="s">
        <v>1612</v>
      </c>
      <c r="E27" s="43" t="s">
        <v>1613</v>
      </c>
      <c r="F27" s="48" t="s">
        <v>25</v>
      </c>
      <c r="G27" s="44" t="s">
        <v>1614</v>
      </c>
      <c r="H27" s="38">
        <v>414</v>
      </c>
      <c r="I27" s="38">
        <v>0</v>
      </c>
      <c r="J27" s="38">
        <v>20</v>
      </c>
      <c r="K27" s="38">
        <v>434</v>
      </c>
      <c r="M27" s="51" t="s">
        <v>323</v>
      </c>
      <c r="N27" s="48" t="s">
        <v>25</v>
      </c>
      <c r="O27" s="122" t="s">
        <v>1492</v>
      </c>
      <c r="P27" s="38">
        <v>28</v>
      </c>
      <c r="Q27" s="38">
        <v>0</v>
      </c>
      <c r="R27" s="38">
        <v>20</v>
      </c>
      <c r="S27" s="82">
        <v>48</v>
      </c>
    </row>
    <row r="28" spans="1:19" x14ac:dyDescent="0.25">
      <c r="A28" s="90">
        <v>45778.873078703706</v>
      </c>
      <c r="B28" s="3" t="s">
        <v>418</v>
      </c>
      <c r="C28" s="60" t="s">
        <v>200</v>
      </c>
      <c r="D28" s="61" t="s">
        <v>1610</v>
      </c>
      <c r="E28" s="43" t="s">
        <v>1415</v>
      </c>
      <c r="F28" s="48" t="s">
        <v>25</v>
      </c>
      <c r="G28" s="44" t="s">
        <v>1611</v>
      </c>
      <c r="H28" s="38">
        <v>53</v>
      </c>
      <c r="I28" s="38">
        <v>0</v>
      </c>
      <c r="J28" s="38">
        <v>20</v>
      </c>
      <c r="K28" s="38">
        <v>73</v>
      </c>
      <c r="M28" s="51" t="s">
        <v>1487</v>
      </c>
      <c r="N28" s="48" t="s">
        <v>25</v>
      </c>
      <c r="O28" s="122" t="s">
        <v>1488</v>
      </c>
      <c r="P28" s="38">
        <v>199</v>
      </c>
      <c r="Q28" s="38">
        <v>0</v>
      </c>
      <c r="R28" s="38">
        <v>20</v>
      </c>
      <c r="S28" s="82">
        <v>219</v>
      </c>
    </row>
    <row r="29" spans="1:19" x14ac:dyDescent="0.25">
      <c r="A29" s="90">
        <v>45778.869120370371</v>
      </c>
      <c r="B29" s="3" t="s">
        <v>205</v>
      </c>
      <c r="C29" s="60" t="s">
        <v>206</v>
      </c>
      <c r="D29" s="61" t="s">
        <v>1608</v>
      </c>
      <c r="E29" s="43" t="s">
        <v>1500</v>
      </c>
      <c r="F29" s="48" t="s">
        <v>25</v>
      </c>
      <c r="G29" s="44" t="s">
        <v>1609</v>
      </c>
      <c r="H29" s="38">
        <v>140</v>
      </c>
      <c r="I29" s="38">
        <v>0</v>
      </c>
      <c r="J29" s="38">
        <v>20</v>
      </c>
      <c r="K29" s="38">
        <v>160</v>
      </c>
      <c r="M29" s="51" t="s">
        <v>327</v>
      </c>
      <c r="N29" s="48" t="s">
        <v>25</v>
      </c>
      <c r="O29" s="122" t="s">
        <v>1482</v>
      </c>
      <c r="P29" s="38">
        <v>98</v>
      </c>
      <c r="Q29" s="38">
        <v>0</v>
      </c>
      <c r="R29" s="38">
        <v>20</v>
      </c>
      <c r="S29" s="82">
        <v>118</v>
      </c>
    </row>
    <row r="30" spans="1:19" x14ac:dyDescent="0.25">
      <c r="A30" s="90">
        <v>45777.901273148149</v>
      </c>
      <c r="B30" s="3" t="s">
        <v>158</v>
      </c>
      <c r="C30" s="60" t="s">
        <v>199</v>
      </c>
      <c r="D30" s="61" t="s">
        <v>1605</v>
      </c>
      <c r="E30" s="43" t="s">
        <v>329</v>
      </c>
      <c r="F30" s="48" t="s">
        <v>25</v>
      </c>
      <c r="G30" s="44" t="s">
        <v>1606</v>
      </c>
      <c r="H30" s="38">
        <v>260</v>
      </c>
      <c r="I30" s="38">
        <v>0</v>
      </c>
      <c r="J30" s="38">
        <v>20</v>
      </c>
      <c r="K30" s="38">
        <v>280</v>
      </c>
      <c r="M30" s="51" t="s">
        <v>327</v>
      </c>
      <c r="N30" s="48" t="s">
        <v>25</v>
      </c>
      <c r="O30" s="122" t="s">
        <v>1480</v>
      </c>
      <c r="P30" s="38">
        <v>36</v>
      </c>
      <c r="Q30" s="38">
        <v>0</v>
      </c>
      <c r="R30" s="38">
        <v>20</v>
      </c>
      <c r="S30" s="82">
        <v>56</v>
      </c>
    </row>
    <row r="31" spans="1:19" x14ac:dyDescent="0.25">
      <c r="A31" s="90">
        <v>45777.886006944442</v>
      </c>
      <c r="B31" s="3" t="s">
        <v>417</v>
      </c>
      <c r="C31" s="60" t="s">
        <v>416</v>
      </c>
      <c r="D31" s="61" t="s">
        <v>1600</v>
      </c>
      <c r="E31" s="43" t="s">
        <v>327</v>
      </c>
      <c r="F31" s="48" t="s">
        <v>25</v>
      </c>
      <c r="G31" s="44" t="s">
        <v>1601</v>
      </c>
      <c r="H31" s="38">
        <v>63</v>
      </c>
      <c r="I31" s="38">
        <v>0</v>
      </c>
      <c r="J31" s="38">
        <v>20</v>
      </c>
      <c r="K31" s="38">
        <v>83</v>
      </c>
      <c r="M31" s="51" t="s">
        <v>327</v>
      </c>
      <c r="N31" s="48" t="s">
        <v>25</v>
      </c>
      <c r="O31" s="122" t="s">
        <v>1478</v>
      </c>
      <c r="P31" s="38">
        <v>63</v>
      </c>
      <c r="Q31" s="38">
        <v>0</v>
      </c>
      <c r="R31" s="38">
        <v>28</v>
      </c>
      <c r="S31" s="82">
        <v>91</v>
      </c>
    </row>
    <row r="32" spans="1:19" x14ac:dyDescent="0.25">
      <c r="A32" s="90">
        <v>45777.88553240741</v>
      </c>
      <c r="B32" s="3" t="s">
        <v>1513</v>
      </c>
      <c r="C32" s="60" t="s">
        <v>1515</v>
      </c>
      <c r="D32" s="61" t="s">
        <v>1598</v>
      </c>
      <c r="E32" s="43" t="s">
        <v>327</v>
      </c>
      <c r="F32" s="48" t="s">
        <v>25</v>
      </c>
      <c r="G32" s="44" t="s">
        <v>1599</v>
      </c>
      <c r="H32" s="38">
        <v>44</v>
      </c>
      <c r="I32" s="38">
        <v>0</v>
      </c>
      <c r="J32" s="38">
        <v>20</v>
      </c>
      <c r="K32" s="38">
        <v>64</v>
      </c>
    </row>
    <row r="33" spans="1:11" x14ac:dyDescent="0.25">
      <c r="A33" s="90">
        <v>45777.885057870371</v>
      </c>
      <c r="B33" s="3" t="s">
        <v>188</v>
      </c>
      <c r="C33" s="60" t="s">
        <v>201</v>
      </c>
      <c r="D33" s="61" t="s">
        <v>1596</v>
      </c>
      <c r="E33" s="43" t="s">
        <v>327</v>
      </c>
      <c r="F33" s="48" t="s">
        <v>25</v>
      </c>
      <c r="G33" s="44" t="s">
        <v>1597</v>
      </c>
      <c r="H33" s="38">
        <v>51</v>
      </c>
      <c r="I33" s="38">
        <v>0</v>
      </c>
      <c r="J33" s="38">
        <v>20</v>
      </c>
      <c r="K33" s="38">
        <v>71</v>
      </c>
    </row>
    <row r="34" spans="1:11" x14ac:dyDescent="0.25">
      <c r="A34" s="90">
        <v>45777.884432870371</v>
      </c>
      <c r="B34" s="3" t="s">
        <v>1527</v>
      </c>
      <c r="C34" s="60" t="s">
        <v>1529</v>
      </c>
      <c r="D34" s="61" t="s">
        <v>1008</v>
      </c>
      <c r="E34" s="43" t="s">
        <v>327</v>
      </c>
      <c r="F34" s="48" t="s">
        <v>25</v>
      </c>
      <c r="G34" s="44" t="s">
        <v>1595</v>
      </c>
      <c r="H34" s="38">
        <v>126</v>
      </c>
      <c r="I34" s="38">
        <v>0</v>
      </c>
      <c r="J34" s="38">
        <v>30</v>
      </c>
      <c r="K34" s="38">
        <v>156</v>
      </c>
    </row>
    <row r="35" spans="1:11" x14ac:dyDescent="0.25">
      <c r="A35" s="90">
        <v>45777.883518518516</v>
      </c>
      <c r="B35" s="3" t="s">
        <v>1162</v>
      </c>
      <c r="C35" s="60" t="s">
        <v>1164</v>
      </c>
      <c r="D35" s="61" t="s">
        <v>1593</v>
      </c>
      <c r="E35" s="43" t="s">
        <v>327</v>
      </c>
      <c r="F35" s="48" t="s">
        <v>25</v>
      </c>
      <c r="G35" s="44" t="s">
        <v>1594</v>
      </c>
      <c r="H35" s="38">
        <v>146</v>
      </c>
      <c r="I35" s="38">
        <v>0</v>
      </c>
      <c r="J35" s="38">
        <v>20</v>
      </c>
      <c r="K35" s="38">
        <v>166</v>
      </c>
    </row>
    <row r="36" spans="1:11" x14ac:dyDescent="0.25">
      <c r="A36" s="90">
        <v>45777.749895833331</v>
      </c>
      <c r="B36" s="3" t="s">
        <v>211</v>
      </c>
      <c r="C36" s="60" t="s">
        <v>258</v>
      </c>
      <c r="D36" s="61" t="s">
        <v>1591</v>
      </c>
      <c r="E36" s="43" t="s">
        <v>327</v>
      </c>
      <c r="F36" s="48" t="s">
        <v>25</v>
      </c>
      <c r="G36" s="44" t="s">
        <v>1592</v>
      </c>
      <c r="H36" s="38">
        <v>162</v>
      </c>
      <c r="I36" s="38">
        <v>0</v>
      </c>
      <c r="J36" s="38">
        <v>20</v>
      </c>
      <c r="K36" s="38">
        <v>180</v>
      </c>
    </row>
    <row r="37" spans="1:11" x14ac:dyDescent="0.25">
      <c r="A37" s="90">
        <v>45776.862824074073</v>
      </c>
      <c r="B37" s="3" t="s">
        <v>246</v>
      </c>
      <c r="C37" s="60" t="s">
        <v>424</v>
      </c>
      <c r="D37" s="61" t="s">
        <v>1589</v>
      </c>
      <c r="E37" s="43" t="s">
        <v>327</v>
      </c>
      <c r="F37" s="48" t="s">
        <v>25</v>
      </c>
      <c r="G37" s="44" t="s">
        <v>1590</v>
      </c>
      <c r="H37" s="38">
        <v>126</v>
      </c>
      <c r="I37" s="38">
        <v>0</v>
      </c>
      <c r="J37" s="38">
        <v>30</v>
      </c>
      <c r="K37" s="38">
        <v>156</v>
      </c>
    </row>
    <row r="38" spans="1:11" x14ac:dyDescent="0.25">
      <c r="A38" s="90">
        <v>45776.861238425925</v>
      </c>
      <c r="B38" s="3" t="s">
        <v>70</v>
      </c>
      <c r="C38" s="60" t="s">
        <v>425</v>
      </c>
      <c r="D38" s="61" t="s">
        <v>1586</v>
      </c>
      <c r="E38" s="43" t="s">
        <v>1587</v>
      </c>
      <c r="F38" s="48" t="s">
        <v>25</v>
      </c>
      <c r="G38" s="44" t="s">
        <v>1588</v>
      </c>
      <c r="H38" s="38">
        <v>160</v>
      </c>
      <c r="I38" s="38">
        <v>0</v>
      </c>
      <c r="J38" s="38">
        <v>20</v>
      </c>
      <c r="K38" s="38">
        <v>180</v>
      </c>
    </row>
    <row r="39" spans="1:11" x14ac:dyDescent="0.25">
      <c r="A39" s="90">
        <v>45776.85833333333</v>
      </c>
      <c r="B39" s="3" t="s">
        <v>211</v>
      </c>
      <c r="C39" s="60" t="s">
        <v>258</v>
      </c>
      <c r="D39" s="61" t="s">
        <v>1584</v>
      </c>
      <c r="E39" s="43" t="s">
        <v>325</v>
      </c>
      <c r="F39" s="48" t="s">
        <v>25</v>
      </c>
      <c r="G39" s="44" t="s">
        <v>1585</v>
      </c>
      <c r="H39" s="38">
        <v>215</v>
      </c>
      <c r="I39" s="38">
        <v>0</v>
      </c>
      <c r="J39" s="38">
        <v>20</v>
      </c>
      <c r="K39" s="38">
        <v>235</v>
      </c>
    </row>
    <row r="40" spans="1:11" x14ac:dyDescent="0.25">
      <c r="A40" s="90">
        <v>45776.857349537036</v>
      </c>
      <c r="B40" s="3" t="s">
        <v>1002</v>
      </c>
      <c r="C40" s="60" t="s">
        <v>1210</v>
      </c>
      <c r="D40" s="61" t="s">
        <v>1582</v>
      </c>
      <c r="E40" s="43" t="s">
        <v>327</v>
      </c>
      <c r="F40" s="48" t="s">
        <v>25</v>
      </c>
      <c r="G40" s="44" t="s">
        <v>1583</v>
      </c>
      <c r="H40" s="38">
        <v>110</v>
      </c>
      <c r="I40" s="38">
        <v>0</v>
      </c>
      <c r="J40" s="38">
        <v>20</v>
      </c>
      <c r="K40" s="38">
        <v>130</v>
      </c>
    </row>
    <row r="41" spans="1:11" x14ac:dyDescent="0.25">
      <c r="A41" s="90">
        <v>45776.851620370369</v>
      </c>
      <c r="B41" s="3" t="s">
        <v>375</v>
      </c>
      <c r="C41" s="60" t="s">
        <v>377</v>
      </c>
      <c r="D41" s="61" t="s">
        <v>1580</v>
      </c>
      <c r="E41" s="43" t="s">
        <v>392</v>
      </c>
      <c r="F41" s="48" t="s">
        <v>14</v>
      </c>
      <c r="G41" s="44" t="s">
        <v>1581</v>
      </c>
      <c r="H41" s="38">
        <v>210</v>
      </c>
      <c r="I41" s="38">
        <v>0</v>
      </c>
      <c r="J41" s="38">
        <v>20</v>
      </c>
      <c r="K41" s="38">
        <v>230</v>
      </c>
    </row>
    <row r="42" spans="1:11" x14ac:dyDescent="0.25">
      <c r="A42" s="90">
        <v>45776.846122685187</v>
      </c>
      <c r="B42" s="3" t="s">
        <v>252</v>
      </c>
      <c r="C42" s="60" t="s">
        <v>289</v>
      </c>
      <c r="D42" s="61" t="s">
        <v>1578</v>
      </c>
      <c r="E42" s="43" t="s">
        <v>1358</v>
      </c>
      <c r="F42" s="48" t="s">
        <v>25</v>
      </c>
      <c r="G42" s="44" t="s">
        <v>1579</v>
      </c>
      <c r="H42" s="38">
        <v>174</v>
      </c>
      <c r="I42" s="38">
        <v>0</v>
      </c>
      <c r="J42" s="38">
        <v>20</v>
      </c>
      <c r="K42" s="38">
        <v>194</v>
      </c>
    </row>
    <row r="43" spans="1:11" x14ac:dyDescent="0.25">
      <c r="A43" s="90">
        <v>45775.907280092593</v>
      </c>
      <c r="B43" s="3" t="s">
        <v>1176</v>
      </c>
      <c r="C43" s="60" t="s">
        <v>1178</v>
      </c>
      <c r="D43" s="61" t="s">
        <v>1575</v>
      </c>
      <c r="E43" s="43" t="s">
        <v>327</v>
      </c>
      <c r="F43" s="48" t="s">
        <v>25</v>
      </c>
      <c r="G43" s="44" t="s">
        <v>1576</v>
      </c>
      <c r="H43" s="38">
        <v>219</v>
      </c>
      <c r="I43" s="38">
        <v>10</v>
      </c>
      <c r="J43" s="38">
        <v>20</v>
      </c>
      <c r="K43" s="38">
        <v>239</v>
      </c>
    </row>
    <row r="44" spans="1:11" x14ac:dyDescent="0.25">
      <c r="A44" s="90">
        <v>45775.905636574076</v>
      </c>
      <c r="B44" s="3" t="s">
        <v>128</v>
      </c>
      <c r="C44" s="60" t="s">
        <v>129</v>
      </c>
      <c r="D44" s="61" t="s">
        <v>1573</v>
      </c>
      <c r="E44" s="43" t="s">
        <v>392</v>
      </c>
      <c r="F44" s="48" t="s">
        <v>25</v>
      </c>
      <c r="G44" s="44" t="s">
        <v>1574</v>
      </c>
      <c r="H44" s="38">
        <v>155</v>
      </c>
      <c r="I44" s="38">
        <v>0</v>
      </c>
      <c r="J44" s="38">
        <v>20</v>
      </c>
      <c r="K44" s="38">
        <v>175</v>
      </c>
    </row>
    <row r="45" spans="1:11" x14ac:dyDescent="0.25">
      <c r="A45" s="90">
        <v>45775.904965277776</v>
      </c>
      <c r="B45" s="3" t="s">
        <v>15</v>
      </c>
      <c r="C45" s="60" t="s">
        <v>54</v>
      </c>
      <c r="D45" s="61" t="s">
        <v>1571</v>
      </c>
      <c r="E45" s="43" t="s">
        <v>327</v>
      </c>
      <c r="F45" s="48" t="s">
        <v>25</v>
      </c>
      <c r="G45" s="44" t="s">
        <v>1572</v>
      </c>
      <c r="H45" s="38">
        <v>225</v>
      </c>
      <c r="I45" s="38">
        <v>0</v>
      </c>
      <c r="J45" s="38">
        <v>20</v>
      </c>
      <c r="K45" s="38">
        <v>245</v>
      </c>
    </row>
    <row r="46" spans="1:11" x14ac:dyDescent="0.25">
      <c r="A46" s="90">
        <v>45775.603993055556</v>
      </c>
      <c r="B46" s="3" t="s">
        <v>211</v>
      </c>
      <c r="C46" s="60" t="s">
        <v>258</v>
      </c>
      <c r="D46" s="61" t="s">
        <v>1569</v>
      </c>
      <c r="E46" s="43" t="s">
        <v>1415</v>
      </c>
      <c r="F46" s="48" t="s">
        <v>25</v>
      </c>
      <c r="G46" s="44" t="s">
        <v>1570</v>
      </c>
      <c r="H46" s="38">
        <v>155</v>
      </c>
      <c r="I46" s="38">
        <v>0</v>
      </c>
      <c r="J46" s="38">
        <v>20</v>
      </c>
      <c r="K46" s="38">
        <v>175</v>
      </c>
    </row>
    <row r="47" spans="1:11" x14ac:dyDescent="0.25">
      <c r="A47" s="90">
        <v>45772.81521990741</v>
      </c>
      <c r="B47" s="3" t="s">
        <v>70</v>
      </c>
      <c r="C47" s="60" t="s">
        <v>425</v>
      </c>
      <c r="D47" s="61" t="s">
        <v>1567</v>
      </c>
      <c r="E47" s="43" t="s">
        <v>327</v>
      </c>
      <c r="F47" s="48" t="s">
        <v>25</v>
      </c>
      <c r="G47" s="44" t="s">
        <v>1568</v>
      </c>
      <c r="H47" s="38">
        <v>227</v>
      </c>
      <c r="I47" s="38">
        <v>0</v>
      </c>
      <c r="J47" s="38">
        <v>-4</v>
      </c>
      <c r="K47" s="38">
        <v>223</v>
      </c>
    </row>
    <row r="48" spans="1:11" x14ac:dyDescent="0.25">
      <c r="A48" s="90">
        <v>45772.811921296299</v>
      </c>
      <c r="B48" s="3" t="s">
        <v>413</v>
      </c>
      <c r="C48" s="60" t="s">
        <v>272</v>
      </c>
      <c r="D48" s="61" t="s">
        <v>1565</v>
      </c>
      <c r="E48" s="43" t="s">
        <v>327</v>
      </c>
      <c r="F48" s="48" t="s">
        <v>25</v>
      </c>
      <c r="G48" s="44" t="s">
        <v>1566</v>
      </c>
      <c r="H48" s="38">
        <v>319</v>
      </c>
      <c r="I48" s="38">
        <v>0</v>
      </c>
      <c r="J48" s="38">
        <v>30</v>
      </c>
      <c r="K48" s="38">
        <v>349</v>
      </c>
    </row>
    <row r="49" spans="1:11" x14ac:dyDescent="0.25">
      <c r="A49" s="90">
        <v>45771.892222222225</v>
      </c>
      <c r="B49" s="3" t="s">
        <v>1553</v>
      </c>
      <c r="C49" s="60" t="s">
        <v>1554</v>
      </c>
      <c r="D49" s="61" t="s">
        <v>1555</v>
      </c>
      <c r="E49" s="43" t="s">
        <v>207</v>
      </c>
      <c r="F49" s="48" t="s">
        <v>25</v>
      </c>
      <c r="G49" s="44" t="s">
        <v>1557</v>
      </c>
      <c r="H49" s="38">
        <v>219</v>
      </c>
      <c r="I49" s="38">
        <v>0</v>
      </c>
      <c r="J49" s="38">
        <v>20</v>
      </c>
      <c r="K49" s="38">
        <v>240</v>
      </c>
    </row>
    <row r="50" spans="1:11" x14ac:dyDescent="0.25">
      <c r="A50" s="90">
        <v>45771.883333333331</v>
      </c>
      <c r="B50" s="3" t="s">
        <v>1063</v>
      </c>
      <c r="C50" s="60" t="s">
        <v>1128</v>
      </c>
      <c r="D50" s="61" t="s">
        <v>1556</v>
      </c>
      <c r="E50" s="43" t="s">
        <v>1558</v>
      </c>
      <c r="F50" s="48" t="s">
        <v>14</v>
      </c>
      <c r="G50" s="44" t="s">
        <v>1559</v>
      </c>
      <c r="H50" s="38">
        <v>3398</v>
      </c>
      <c r="I50" s="38">
        <v>0</v>
      </c>
      <c r="J50" s="38">
        <v>150</v>
      </c>
      <c r="K50" s="38">
        <v>3398</v>
      </c>
    </row>
    <row r="51" spans="1:11" x14ac:dyDescent="0.25">
      <c r="A51" s="90">
        <v>45764.621157407404</v>
      </c>
      <c r="B51" s="3" t="s">
        <v>413</v>
      </c>
      <c r="C51" s="60" t="s">
        <v>272</v>
      </c>
      <c r="D51" s="61" t="s">
        <v>1551</v>
      </c>
      <c r="E51" s="43" t="s">
        <v>255</v>
      </c>
      <c r="F51" s="48" t="s">
        <v>25</v>
      </c>
      <c r="G51" s="44" t="s">
        <v>1552</v>
      </c>
      <c r="H51" s="38">
        <v>575</v>
      </c>
      <c r="I51" s="38">
        <v>8</v>
      </c>
      <c r="J51" s="38">
        <v>12</v>
      </c>
      <c r="K51" s="38">
        <v>587</v>
      </c>
    </row>
    <row r="52" spans="1:11" x14ac:dyDescent="0.25">
      <c r="A52" s="90">
        <v>45764.6174537037</v>
      </c>
      <c r="B52" s="3" t="s">
        <v>1162</v>
      </c>
      <c r="C52" s="60" t="s">
        <v>1164</v>
      </c>
      <c r="D52" s="61" t="s">
        <v>1549</v>
      </c>
      <c r="E52" s="43" t="s">
        <v>327</v>
      </c>
      <c r="F52" s="48" t="s">
        <v>25</v>
      </c>
      <c r="G52" s="44" t="s">
        <v>1550</v>
      </c>
      <c r="H52" s="38">
        <v>330</v>
      </c>
      <c r="I52" s="38">
        <v>23</v>
      </c>
      <c r="J52" s="38">
        <v>25</v>
      </c>
      <c r="K52" s="38">
        <v>378</v>
      </c>
    </row>
    <row r="53" spans="1:11" x14ac:dyDescent="0.25">
      <c r="A53" s="90">
        <v>45764.611898148149</v>
      </c>
      <c r="B53" s="3" t="s">
        <v>1527</v>
      </c>
      <c r="C53" s="60" t="s">
        <v>1529</v>
      </c>
      <c r="D53" s="61" t="s">
        <v>1547</v>
      </c>
      <c r="E53" s="43" t="s">
        <v>325</v>
      </c>
      <c r="F53" s="48" t="s">
        <v>25</v>
      </c>
      <c r="G53" s="44" t="s">
        <v>1548</v>
      </c>
      <c r="H53" s="38">
        <v>110</v>
      </c>
      <c r="I53" s="38">
        <v>0</v>
      </c>
      <c r="J53" s="38">
        <v>20</v>
      </c>
      <c r="K53" s="38">
        <v>130</v>
      </c>
    </row>
    <row r="54" spans="1:11" x14ac:dyDescent="0.25">
      <c r="A54" s="90">
        <v>45764.608784722222</v>
      </c>
      <c r="B54" s="3" t="s">
        <v>70</v>
      </c>
      <c r="C54" s="60" t="s">
        <v>425</v>
      </c>
      <c r="D54" s="61" t="s">
        <v>1545</v>
      </c>
      <c r="E54" s="43" t="s">
        <v>327</v>
      </c>
      <c r="F54" s="48" t="s">
        <v>25</v>
      </c>
      <c r="G54" s="44" t="s">
        <v>1546</v>
      </c>
      <c r="H54" s="38">
        <v>98</v>
      </c>
      <c r="I54" s="38">
        <v>2</v>
      </c>
      <c r="J54" s="38">
        <v>20</v>
      </c>
      <c r="K54" s="38">
        <v>120</v>
      </c>
    </row>
    <row r="55" spans="1:11" x14ac:dyDescent="0.25">
      <c r="A55" s="90">
        <v>45764.60423611111</v>
      </c>
      <c r="B55" s="3" t="s">
        <v>1143</v>
      </c>
      <c r="C55" s="60" t="s">
        <v>1145</v>
      </c>
      <c r="D55" s="61" t="s">
        <v>1543</v>
      </c>
      <c r="E55" s="43" t="s">
        <v>327</v>
      </c>
      <c r="F55" s="48" t="s">
        <v>25</v>
      </c>
      <c r="G55" s="44" t="s">
        <v>1544</v>
      </c>
      <c r="H55" s="38">
        <v>146</v>
      </c>
      <c r="I55" s="38">
        <v>6</v>
      </c>
      <c r="J55" s="38">
        <v>20</v>
      </c>
      <c r="K55" s="38">
        <v>172</v>
      </c>
    </row>
    <row r="56" spans="1:11" x14ac:dyDescent="0.25">
      <c r="A56" s="90">
        <v>45763.897037037037</v>
      </c>
      <c r="B56" s="3" t="s">
        <v>1537</v>
      </c>
      <c r="C56" s="60" t="s">
        <v>1539</v>
      </c>
      <c r="D56" s="61" t="s">
        <v>1540</v>
      </c>
      <c r="E56" s="43" t="s">
        <v>1541</v>
      </c>
      <c r="F56" s="48" t="s">
        <v>25</v>
      </c>
      <c r="G56" s="44" t="s">
        <v>1542</v>
      </c>
      <c r="H56" s="38">
        <v>385</v>
      </c>
      <c r="I56" s="38">
        <v>20</v>
      </c>
      <c r="J56" s="38">
        <v>20</v>
      </c>
      <c r="K56" s="38">
        <v>425</v>
      </c>
    </row>
    <row r="57" spans="1:11" x14ac:dyDescent="0.25">
      <c r="A57" s="90">
        <v>45763.843738425923</v>
      </c>
      <c r="B57" s="3" t="s">
        <v>70</v>
      </c>
      <c r="C57" s="60" t="s">
        <v>425</v>
      </c>
      <c r="D57" s="61" t="s">
        <v>1533</v>
      </c>
      <c r="E57" s="43" t="s">
        <v>1535</v>
      </c>
      <c r="F57" s="48" t="s">
        <v>25</v>
      </c>
      <c r="G57" s="44" t="s">
        <v>1536</v>
      </c>
      <c r="H57" s="38">
        <v>188</v>
      </c>
      <c r="I57" s="38">
        <v>0</v>
      </c>
      <c r="J57" s="38">
        <v>20</v>
      </c>
      <c r="K57" s="38">
        <v>208</v>
      </c>
    </row>
    <row r="58" spans="1:11" x14ac:dyDescent="0.25">
      <c r="A58" s="90">
        <v>45763.840567129628</v>
      </c>
      <c r="B58" s="3" t="s">
        <v>1527</v>
      </c>
      <c r="C58" s="60" t="s">
        <v>1529</v>
      </c>
      <c r="D58" s="61" t="s">
        <v>1530</v>
      </c>
      <c r="E58" s="43" t="s">
        <v>1531</v>
      </c>
      <c r="F58" s="48" t="s">
        <v>25</v>
      </c>
      <c r="G58" s="44" t="s">
        <v>1532</v>
      </c>
      <c r="H58" s="38">
        <v>97</v>
      </c>
      <c r="I58" s="38">
        <v>0</v>
      </c>
      <c r="J58" s="38">
        <v>20</v>
      </c>
      <c r="K58" s="38">
        <v>107</v>
      </c>
    </row>
    <row r="59" spans="1:11" x14ac:dyDescent="0.25">
      <c r="A59" s="90">
        <v>45763.838645833333</v>
      </c>
      <c r="B59" s="3" t="s">
        <v>418</v>
      </c>
      <c r="C59" s="60" t="s">
        <v>200</v>
      </c>
      <c r="D59" s="61" t="s">
        <v>1525</v>
      </c>
      <c r="E59" s="43" t="s">
        <v>327</v>
      </c>
      <c r="F59" s="48" t="s">
        <v>25</v>
      </c>
      <c r="G59" s="44" t="s">
        <v>1526</v>
      </c>
      <c r="H59" s="38">
        <v>317</v>
      </c>
      <c r="I59" s="38">
        <v>0</v>
      </c>
      <c r="J59" s="38">
        <v>20</v>
      </c>
      <c r="K59" s="38">
        <v>337</v>
      </c>
    </row>
    <row r="60" spans="1:11" x14ac:dyDescent="0.25">
      <c r="A60" s="90">
        <v>45763.837719907409</v>
      </c>
      <c r="B60" s="3" t="s">
        <v>382</v>
      </c>
      <c r="C60" s="60" t="s">
        <v>384</v>
      </c>
      <c r="D60" s="61" t="s">
        <v>1523</v>
      </c>
      <c r="E60" s="43" t="s">
        <v>323</v>
      </c>
      <c r="F60" s="48" t="s">
        <v>25</v>
      </c>
      <c r="G60" s="44" t="s">
        <v>1524</v>
      </c>
      <c r="H60" s="38">
        <v>20</v>
      </c>
      <c r="I60" s="38">
        <v>0</v>
      </c>
      <c r="J60" s="38">
        <v>20</v>
      </c>
      <c r="K60" s="38">
        <v>40</v>
      </c>
    </row>
    <row r="61" spans="1:11" x14ac:dyDescent="0.25">
      <c r="A61" s="90">
        <v>45763.835914351854</v>
      </c>
      <c r="B61" s="3" t="s">
        <v>15</v>
      </c>
      <c r="C61" s="60" t="s">
        <v>54</v>
      </c>
      <c r="D61" s="61" t="s">
        <v>1520</v>
      </c>
      <c r="E61" s="43" t="s">
        <v>327</v>
      </c>
      <c r="F61" s="48" t="s">
        <v>25</v>
      </c>
      <c r="G61" s="44" t="s">
        <v>1521</v>
      </c>
      <c r="H61" s="38">
        <v>73</v>
      </c>
      <c r="I61" s="38">
        <v>0</v>
      </c>
      <c r="J61" s="38">
        <v>20</v>
      </c>
      <c r="K61" s="38">
        <v>93</v>
      </c>
    </row>
    <row r="62" spans="1:11" x14ac:dyDescent="0.25">
      <c r="A62" s="90">
        <v>45762.902430555558</v>
      </c>
      <c r="B62" s="3" t="s">
        <v>128</v>
      </c>
      <c r="C62" s="60" t="s">
        <v>129</v>
      </c>
      <c r="D62" s="61" t="s">
        <v>1518</v>
      </c>
      <c r="E62" s="43" t="s">
        <v>392</v>
      </c>
      <c r="F62" s="48" t="s">
        <v>25</v>
      </c>
      <c r="G62" s="44" t="s">
        <v>1519</v>
      </c>
      <c r="H62" s="38">
        <v>167</v>
      </c>
      <c r="I62" s="38">
        <v>0</v>
      </c>
      <c r="J62" s="38">
        <v>30</v>
      </c>
      <c r="K62" s="38">
        <v>197</v>
      </c>
    </row>
    <row r="63" spans="1:11" x14ac:dyDescent="0.25">
      <c r="A63" s="90">
        <v>45762.890277777777</v>
      </c>
      <c r="B63" s="3" t="s">
        <v>1513</v>
      </c>
      <c r="C63" s="60" t="s">
        <v>1515</v>
      </c>
      <c r="D63" s="61" t="s">
        <v>1516</v>
      </c>
      <c r="E63" s="43" t="s">
        <v>327</v>
      </c>
      <c r="F63" s="48" t="s">
        <v>25</v>
      </c>
      <c r="G63" s="44" t="s">
        <v>1517</v>
      </c>
      <c r="H63" s="38">
        <v>29</v>
      </c>
      <c r="I63" s="38">
        <v>0</v>
      </c>
      <c r="J63" s="38">
        <v>20</v>
      </c>
      <c r="K63" s="38">
        <v>49</v>
      </c>
    </row>
    <row r="64" spans="1:11" x14ac:dyDescent="0.25">
      <c r="A64" s="90">
        <v>45762.88894675926</v>
      </c>
      <c r="B64" s="3" t="s">
        <v>1507</v>
      </c>
      <c r="C64" s="60" t="s">
        <v>1509</v>
      </c>
      <c r="D64" s="61" t="s">
        <v>1510</v>
      </c>
      <c r="E64" s="43" t="s">
        <v>1511</v>
      </c>
      <c r="F64" s="48" t="s">
        <v>25</v>
      </c>
      <c r="G64" s="44" t="s">
        <v>1512</v>
      </c>
      <c r="H64" s="38">
        <v>163</v>
      </c>
      <c r="I64" s="38">
        <v>0</v>
      </c>
      <c r="J64" s="38">
        <v>40</v>
      </c>
      <c r="K64" s="38">
        <v>203</v>
      </c>
    </row>
    <row r="65" spans="1:11" x14ac:dyDescent="0.25">
      <c r="A65" s="90">
        <v>45762.831967592596</v>
      </c>
      <c r="B65" s="3" t="s">
        <v>70</v>
      </c>
      <c r="C65" s="60" t="s">
        <v>425</v>
      </c>
      <c r="D65" s="61" t="s">
        <v>1505</v>
      </c>
      <c r="E65" s="43" t="s">
        <v>1049</v>
      </c>
      <c r="F65" s="48" t="s">
        <v>25</v>
      </c>
      <c r="G65" s="44" t="s">
        <v>1506</v>
      </c>
      <c r="H65" s="38">
        <v>240</v>
      </c>
      <c r="I65" s="38">
        <v>0</v>
      </c>
      <c r="J65" s="38">
        <v>30</v>
      </c>
      <c r="K65" s="38">
        <v>270</v>
      </c>
    </row>
    <row r="66" spans="1:11" x14ac:dyDescent="0.25">
      <c r="A66" s="90">
        <v>45762.828935185185</v>
      </c>
      <c r="B66" s="3" t="s">
        <v>1453</v>
      </c>
      <c r="C66" s="60" t="s">
        <v>1455</v>
      </c>
      <c r="D66" s="61" t="s">
        <v>1502</v>
      </c>
      <c r="E66" s="43" t="s">
        <v>1503</v>
      </c>
      <c r="F66" s="48" t="s">
        <v>25</v>
      </c>
      <c r="G66" s="44" t="s">
        <v>1504</v>
      </c>
      <c r="H66" s="38">
        <v>339</v>
      </c>
      <c r="I66" s="38">
        <v>6</v>
      </c>
      <c r="J66" s="38">
        <v>40</v>
      </c>
      <c r="K66" s="38">
        <v>385</v>
      </c>
    </row>
    <row r="67" spans="1:11" x14ac:dyDescent="0.25">
      <c r="A67" s="90">
        <v>45761.777141203704</v>
      </c>
      <c r="B67" s="3" t="s">
        <v>418</v>
      </c>
      <c r="C67" s="60" t="s">
        <v>200</v>
      </c>
      <c r="D67" s="61" t="s">
        <v>1560</v>
      </c>
      <c r="E67" s="43" t="s">
        <v>1562</v>
      </c>
      <c r="F67" s="48" t="s">
        <v>25</v>
      </c>
      <c r="G67" s="44" t="s">
        <v>1563</v>
      </c>
      <c r="H67" s="38">
        <v>70</v>
      </c>
      <c r="I67" s="38">
        <v>0</v>
      </c>
      <c r="J67" s="38">
        <v>20</v>
      </c>
      <c r="K67" s="38">
        <v>90</v>
      </c>
    </row>
    <row r="68" spans="1:11" x14ac:dyDescent="0.25">
      <c r="A68" s="90">
        <v>45761.774687500001</v>
      </c>
      <c r="B68" s="3" t="s">
        <v>211</v>
      </c>
      <c r="C68" s="60" t="s">
        <v>258</v>
      </c>
      <c r="D68" s="61" t="s">
        <v>1561</v>
      </c>
      <c r="E68" s="43" t="s">
        <v>1460</v>
      </c>
      <c r="F68" s="48" t="s">
        <v>25</v>
      </c>
      <c r="G68" s="44" t="s">
        <v>1564</v>
      </c>
      <c r="H68" s="38">
        <v>167</v>
      </c>
      <c r="I68" s="38">
        <v>0</v>
      </c>
      <c r="J68" s="38">
        <v>20</v>
      </c>
      <c r="K68" s="38">
        <v>187</v>
      </c>
    </row>
    <row r="69" spans="1:11" x14ac:dyDescent="0.25">
      <c r="A69" s="121">
        <v>45756</v>
      </c>
      <c r="B69" s="3" t="s">
        <v>375</v>
      </c>
      <c r="C69" s="60" t="s">
        <v>377</v>
      </c>
      <c r="D69" s="65" t="s">
        <v>1499</v>
      </c>
      <c r="E69" s="51" t="s">
        <v>1500</v>
      </c>
      <c r="F69" s="48" t="s">
        <v>14</v>
      </c>
      <c r="G69" s="122" t="s">
        <v>1501</v>
      </c>
      <c r="H69" s="38">
        <v>1385</v>
      </c>
      <c r="I69" s="38">
        <v>0</v>
      </c>
      <c r="J69" s="38">
        <v>45</v>
      </c>
      <c r="K69" s="82">
        <v>1430</v>
      </c>
    </row>
    <row r="70" spans="1:11" x14ac:dyDescent="0.25">
      <c r="A70" s="121">
        <v>45756</v>
      </c>
      <c r="B70" s="3" t="s">
        <v>252</v>
      </c>
      <c r="C70" s="60" t="s">
        <v>289</v>
      </c>
      <c r="D70" s="65" t="s">
        <v>1496</v>
      </c>
      <c r="E70" s="51" t="s">
        <v>1497</v>
      </c>
      <c r="F70" s="48" t="s">
        <v>25</v>
      </c>
      <c r="G70" s="122" t="s">
        <v>1498</v>
      </c>
      <c r="H70" s="38">
        <v>43</v>
      </c>
      <c r="I70" s="38">
        <v>0</v>
      </c>
      <c r="J70" s="38">
        <v>37</v>
      </c>
      <c r="K70" s="82">
        <v>80</v>
      </c>
    </row>
    <row r="71" spans="1:11" x14ac:dyDescent="0.25">
      <c r="A71" s="121">
        <v>45756</v>
      </c>
      <c r="B71" s="3" t="s">
        <v>70</v>
      </c>
      <c r="C71" s="60" t="s">
        <v>425</v>
      </c>
      <c r="D71" s="65" t="s">
        <v>1493</v>
      </c>
      <c r="E71" s="51" t="s">
        <v>1494</v>
      </c>
      <c r="F71" s="48" t="s">
        <v>25</v>
      </c>
      <c r="G71" s="122" t="s">
        <v>1495</v>
      </c>
      <c r="H71" s="38">
        <v>120</v>
      </c>
      <c r="I71" s="38">
        <v>0</v>
      </c>
      <c r="J71" s="38">
        <v>25</v>
      </c>
      <c r="K71" s="82">
        <v>145</v>
      </c>
    </row>
    <row r="72" spans="1:11" x14ac:dyDescent="0.25">
      <c r="A72" s="121">
        <v>45756</v>
      </c>
      <c r="B72" s="3" t="s">
        <v>1489</v>
      </c>
      <c r="C72" s="60" t="s">
        <v>1490</v>
      </c>
      <c r="D72" s="65" t="s">
        <v>1491</v>
      </c>
      <c r="E72" s="51" t="s">
        <v>323</v>
      </c>
      <c r="F72" s="48" t="s">
        <v>25</v>
      </c>
      <c r="G72" s="122" t="s">
        <v>1492</v>
      </c>
      <c r="H72" s="38">
        <v>28</v>
      </c>
      <c r="I72" s="38">
        <v>0</v>
      </c>
      <c r="J72" s="38">
        <v>20</v>
      </c>
      <c r="K72" s="82">
        <v>48</v>
      </c>
    </row>
    <row r="73" spans="1:11" x14ac:dyDescent="0.25">
      <c r="A73" s="121">
        <v>45756</v>
      </c>
      <c r="B73" s="3" t="s">
        <v>1483</v>
      </c>
      <c r="C73" s="60" t="s">
        <v>1484</v>
      </c>
      <c r="D73" s="65" t="s">
        <v>1485</v>
      </c>
      <c r="E73" s="51" t="s">
        <v>1487</v>
      </c>
      <c r="F73" s="48" t="s">
        <v>25</v>
      </c>
      <c r="G73" s="122" t="s">
        <v>1488</v>
      </c>
      <c r="H73" s="38">
        <v>199</v>
      </c>
      <c r="I73" s="38">
        <v>0</v>
      </c>
      <c r="J73" s="38">
        <v>20</v>
      </c>
      <c r="K73" s="82">
        <v>219</v>
      </c>
    </row>
    <row r="74" spans="1:11" x14ac:dyDescent="0.25">
      <c r="A74" s="121">
        <v>45756</v>
      </c>
      <c r="B74" s="3" t="s">
        <v>413</v>
      </c>
      <c r="C74" s="60" t="s">
        <v>272</v>
      </c>
      <c r="D74" s="65" t="s">
        <v>1481</v>
      </c>
      <c r="E74" s="51" t="s">
        <v>327</v>
      </c>
      <c r="F74" s="48" t="s">
        <v>25</v>
      </c>
      <c r="G74" s="122" t="s">
        <v>1482</v>
      </c>
      <c r="H74" s="38">
        <v>98</v>
      </c>
      <c r="I74" s="38">
        <v>0</v>
      </c>
      <c r="J74" s="38">
        <v>20</v>
      </c>
      <c r="K74" s="82">
        <v>118</v>
      </c>
    </row>
    <row r="75" spans="1:11" x14ac:dyDescent="0.25">
      <c r="A75" s="121">
        <v>45756</v>
      </c>
      <c r="B75" s="3" t="s">
        <v>1002</v>
      </c>
      <c r="C75" s="60" t="s">
        <v>1210</v>
      </c>
      <c r="D75" s="65" t="s">
        <v>1479</v>
      </c>
      <c r="E75" s="51" t="s">
        <v>327</v>
      </c>
      <c r="F75" s="48" t="s">
        <v>25</v>
      </c>
      <c r="G75" s="122" t="s">
        <v>1480</v>
      </c>
      <c r="H75" s="38">
        <v>36</v>
      </c>
      <c r="I75" s="38">
        <v>0</v>
      </c>
      <c r="J75" s="38">
        <v>20</v>
      </c>
      <c r="K75" s="82">
        <v>56</v>
      </c>
    </row>
    <row r="76" spans="1:11" x14ac:dyDescent="0.25">
      <c r="A76" s="121">
        <v>45756</v>
      </c>
      <c r="B76" s="3" t="s">
        <v>423</v>
      </c>
      <c r="C76" s="60" t="s">
        <v>311</v>
      </c>
      <c r="D76" s="65" t="s">
        <v>1477</v>
      </c>
      <c r="E76" s="51" t="s">
        <v>327</v>
      </c>
      <c r="F76" s="48" t="s">
        <v>25</v>
      </c>
      <c r="G76" s="122" t="s">
        <v>1478</v>
      </c>
      <c r="H76" s="38">
        <v>63</v>
      </c>
      <c r="I76" s="38">
        <v>0</v>
      </c>
      <c r="J76" s="38">
        <v>28</v>
      </c>
      <c r="K76" s="82">
        <v>91</v>
      </c>
    </row>
    <row r="77" spans="1:11" x14ac:dyDescent="0.25">
      <c r="A77" s="90">
        <v>45755.899918981479</v>
      </c>
      <c r="B77" s="3" t="s">
        <v>70</v>
      </c>
      <c r="C77" s="60" t="s">
        <v>425</v>
      </c>
      <c r="D77" s="61" t="s">
        <v>1465</v>
      </c>
      <c r="E77" s="43" t="s">
        <v>1467</v>
      </c>
      <c r="F77" s="48" t="s">
        <v>25</v>
      </c>
      <c r="G77" s="44" t="s">
        <v>1468</v>
      </c>
      <c r="H77" s="38">
        <v>439</v>
      </c>
      <c r="I77" s="38">
        <v>0</v>
      </c>
      <c r="J77" s="38">
        <v>20</v>
      </c>
      <c r="K77" s="38">
        <v>460</v>
      </c>
    </row>
    <row r="78" spans="1:11" x14ac:dyDescent="0.25">
      <c r="A78" s="90">
        <v>45755.896979166668</v>
      </c>
      <c r="B78" s="3" t="s">
        <v>15</v>
      </c>
      <c r="C78" s="60" t="s">
        <v>54</v>
      </c>
      <c r="D78" s="61" t="s">
        <v>1462</v>
      </c>
      <c r="E78" s="43" t="s">
        <v>1463</v>
      </c>
      <c r="F78" s="48" t="s">
        <v>25</v>
      </c>
      <c r="G78" s="44" t="s">
        <v>1464</v>
      </c>
      <c r="H78" s="38">
        <v>356</v>
      </c>
      <c r="I78" s="38">
        <v>0</v>
      </c>
      <c r="J78" s="38">
        <v>20</v>
      </c>
      <c r="K78" s="38">
        <v>376</v>
      </c>
    </row>
    <row r="79" spans="1:11" x14ac:dyDescent="0.25">
      <c r="A79" s="90">
        <v>45755.893680555557</v>
      </c>
      <c r="B79" s="3" t="s">
        <v>418</v>
      </c>
      <c r="C79" s="60" t="s">
        <v>200</v>
      </c>
      <c r="D79" s="61" t="s">
        <v>1459</v>
      </c>
      <c r="E79" s="43" t="s">
        <v>1460</v>
      </c>
      <c r="F79" s="48" t="s">
        <v>25</v>
      </c>
      <c r="G79" s="44" t="s">
        <v>1461</v>
      </c>
      <c r="H79" s="38">
        <v>160</v>
      </c>
      <c r="I79" s="38">
        <v>0</v>
      </c>
      <c r="J79" s="38">
        <v>20</v>
      </c>
      <c r="K79" s="38">
        <v>180</v>
      </c>
    </row>
    <row r="80" spans="1:11" x14ac:dyDescent="0.25">
      <c r="A80" s="90">
        <v>45755.892546296294</v>
      </c>
      <c r="B80" s="3" t="s">
        <v>29</v>
      </c>
      <c r="C80" s="60" t="s">
        <v>30</v>
      </c>
      <c r="D80" s="61" t="s">
        <v>998</v>
      </c>
      <c r="E80" s="43" t="s">
        <v>327</v>
      </c>
      <c r="F80" s="48" t="s">
        <v>14</v>
      </c>
      <c r="G80" s="44" t="s">
        <v>1458</v>
      </c>
      <c r="H80" s="38">
        <v>45</v>
      </c>
      <c r="I80" s="38">
        <v>0</v>
      </c>
      <c r="J80" s="38">
        <v>20</v>
      </c>
      <c r="K80" s="38">
        <v>65</v>
      </c>
    </row>
    <row r="81" spans="1:11" x14ac:dyDescent="0.25">
      <c r="A81" s="90">
        <v>45755.889120370368</v>
      </c>
      <c r="B81" s="3" t="s">
        <v>1453</v>
      </c>
      <c r="C81" s="60" t="s">
        <v>1455</v>
      </c>
      <c r="D81" s="61" t="s">
        <v>1456</v>
      </c>
      <c r="E81" s="43" t="s">
        <v>1049</v>
      </c>
      <c r="F81" s="48" t="s">
        <v>14</v>
      </c>
      <c r="G81" s="44" t="s">
        <v>1457</v>
      </c>
      <c r="H81" s="38">
        <v>590</v>
      </c>
      <c r="I81" s="38">
        <v>0</v>
      </c>
      <c r="J81" s="38">
        <v>30</v>
      </c>
      <c r="K81" s="38">
        <v>620</v>
      </c>
    </row>
    <row r="82" spans="1:11" x14ac:dyDescent="0.25">
      <c r="A82" s="90">
        <v>45751.674641203703</v>
      </c>
      <c r="B82" s="3" t="s">
        <v>418</v>
      </c>
      <c r="C82" s="60" t="s">
        <v>200</v>
      </c>
      <c r="D82" s="61" t="s">
        <v>1451</v>
      </c>
      <c r="E82" s="43" t="s">
        <v>1415</v>
      </c>
      <c r="F82" s="48" t="s">
        <v>25</v>
      </c>
      <c r="G82" s="44" t="s">
        <v>1452</v>
      </c>
      <c r="H82" s="38">
        <v>93</v>
      </c>
      <c r="I82" s="38">
        <v>0</v>
      </c>
      <c r="J82" s="38">
        <v>20</v>
      </c>
      <c r="K82" s="38">
        <v>113</v>
      </c>
    </row>
    <row r="83" spans="1:11" x14ac:dyDescent="0.25">
      <c r="A83" s="90">
        <v>45751.671805555554</v>
      </c>
      <c r="B83" s="3" t="s">
        <v>417</v>
      </c>
      <c r="C83" s="60" t="s">
        <v>416</v>
      </c>
      <c r="D83" s="61" t="s">
        <v>1447</v>
      </c>
      <c r="E83" s="43" t="s">
        <v>1449</v>
      </c>
      <c r="F83" s="48" t="s">
        <v>25</v>
      </c>
      <c r="G83" s="44" t="s">
        <v>1450</v>
      </c>
      <c r="H83" s="38">
        <v>34</v>
      </c>
      <c r="I83" s="38">
        <v>0</v>
      </c>
      <c r="J83" s="38">
        <v>20</v>
      </c>
      <c r="K83" s="38">
        <v>54</v>
      </c>
    </row>
    <row r="84" spans="1:11" x14ac:dyDescent="0.25">
      <c r="A84" s="90">
        <v>45749.930567129632</v>
      </c>
      <c r="B84" s="3" t="s">
        <v>413</v>
      </c>
      <c r="C84" s="60" t="s">
        <v>272</v>
      </c>
      <c r="D84" s="61" t="s">
        <v>1444</v>
      </c>
      <c r="E84" s="43" t="s">
        <v>327</v>
      </c>
      <c r="F84" s="48" t="s">
        <v>25</v>
      </c>
      <c r="G84" s="44" t="s">
        <v>1445</v>
      </c>
      <c r="H84" s="38">
        <v>184</v>
      </c>
      <c r="I84" s="38">
        <v>0</v>
      </c>
      <c r="J84" s="38">
        <v>20</v>
      </c>
      <c r="K84" s="38">
        <v>204</v>
      </c>
    </row>
    <row r="85" spans="1:11" x14ac:dyDescent="0.25">
      <c r="A85" s="90">
        <v>45749.928969907407</v>
      </c>
      <c r="B85" s="3" t="s">
        <v>15</v>
      </c>
      <c r="C85" s="60" t="s">
        <v>54</v>
      </c>
      <c r="D85" s="61" t="s">
        <v>1441</v>
      </c>
      <c r="E85" s="43" t="s">
        <v>1442</v>
      </c>
      <c r="F85" s="48" t="s">
        <v>25</v>
      </c>
      <c r="G85" s="44" t="s">
        <v>1443</v>
      </c>
      <c r="H85" s="38">
        <v>285</v>
      </c>
      <c r="I85" s="38">
        <v>0</v>
      </c>
      <c r="J85" s="38">
        <v>20</v>
      </c>
      <c r="K85" s="38">
        <v>305</v>
      </c>
    </row>
    <row r="86" spans="1:11" x14ac:dyDescent="0.25">
      <c r="A86" s="90">
        <v>45749.927754629629</v>
      </c>
      <c r="B86" s="3" t="s">
        <v>70</v>
      </c>
      <c r="C86" s="60" t="s">
        <v>425</v>
      </c>
      <c r="D86" s="61" t="s">
        <v>1438</v>
      </c>
      <c r="E86" s="43" t="s">
        <v>1439</v>
      </c>
      <c r="F86" s="48" t="s">
        <v>25</v>
      </c>
      <c r="G86" s="44" t="s">
        <v>1440</v>
      </c>
      <c r="H86" s="38">
        <v>139</v>
      </c>
      <c r="I86" s="38">
        <v>0</v>
      </c>
      <c r="J86" s="38">
        <v>20</v>
      </c>
      <c r="K86" s="38">
        <v>159</v>
      </c>
    </row>
    <row r="87" spans="1:11" x14ac:dyDescent="0.25">
      <c r="A87" s="90">
        <v>45749.926562499997</v>
      </c>
      <c r="B87" s="3" t="s">
        <v>1295</v>
      </c>
      <c r="C87" s="60" t="s">
        <v>1297</v>
      </c>
      <c r="D87" s="61" t="s">
        <v>1436</v>
      </c>
      <c r="E87" s="43" t="s">
        <v>395</v>
      </c>
      <c r="F87" s="48" t="s">
        <v>25</v>
      </c>
      <c r="G87" s="44" t="s">
        <v>1437</v>
      </c>
      <c r="H87" s="38">
        <v>75</v>
      </c>
      <c r="I87" s="38">
        <v>0</v>
      </c>
      <c r="J87" s="38">
        <v>20</v>
      </c>
      <c r="K87" s="38">
        <v>95</v>
      </c>
    </row>
    <row r="88" spans="1:11" x14ac:dyDescent="0.25">
      <c r="A88" s="90">
        <v>45749.925370370373</v>
      </c>
      <c r="B88" s="3" t="s">
        <v>211</v>
      </c>
      <c r="C88" s="60" t="s">
        <v>258</v>
      </c>
      <c r="D88" s="61" t="s">
        <v>1433</v>
      </c>
      <c r="E88" s="43" t="s">
        <v>1434</v>
      </c>
      <c r="F88" s="48" t="s">
        <v>25</v>
      </c>
      <c r="G88" s="44" t="s">
        <v>1435</v>
      </c>
      <c r="H88" s="38">
        <v>116</v>
      </c>
      <c r="I88" s="38">
        <v>0</v>
      </c>
      <c r="J88" s="38">
        <v>20</v>
      </c>
      <c r="K88" s="38">
        <v>136</v>
      </c>
    </row>
    <row r="89" spans="1:11" x14ac:dyDescent="0.25">
      <c r="A89" s="90">
        <v>45749.914664351854</v>
      </c>
      <c r="B89" s="3" t="s">
        <v>70</v>
      </c>
      <c r="C89" s="60" t="s">
        <v>425</v>
      </c>
      <c r="D89" s="61" t="s">
        <v>1431</v>
      </c>
      <c r="E89" s="43" t="s">
        <v>327</v>
      </c>
      <c r="F89" s="48" t="s">
        <v>25</v>
      </c>
      <c r="G89" s="44" t="s">
        <v>1432</v>
      </c>
      <c r="H89" s="38">
        <v>182</v>
      </c>
      <c r="I89" s="38">
        <v>0</v>
      </c>
      <c r="J89" s="38">
        <v>20</v>
      </c>
      <c r="K89" s="38">
        <v>202</v>
      </c>
    </row>
    <row r="90" spans="1:11" x14ac:dyDescent="0.25">
      <c r="A90" s="90">
        <v>45748.869837962964</v>
      </c>
      <c r="B90" s="3" t="s">
        <v>70</v>
      </c>
      <c r="C90" s="60" t="s">
        <v>425</v>
      </c>
      <c r="D90" s="61" t="s">
        <v>1469</v>
      </c>
      <c r="E90" s="43" t="s">
        <v>327</v>
      </c>
      <c r="F90" s="48" t="s">
        <v>25</v>
      </c>
      <c r="G90" s="44" t="s">
        <v>1473</v>
      </c>
      <c r="H90" s="38">
        <v>108</v>
      </c>
      <c r="I90" s="38">
        <v>0</v>
      </c>
      <c r="J90" s="38">
        <v>20</v>
      </c>
      <c r="K90" s="38">
        <v>128</v>
      </c>
    </row>
    <row r="91" spans="1:11" x14ac:dyDescent="0.25">
      <c r="A91" s="90">
        <v>45748.868900462963</v>
      </c>
      <c r="B91" s="3">
        <v>0</v>
      </c>
      <c r="C91" s="60" t="s">
        <v>1297</v>
      </c>
      <c r="D91" s="61" t="s">
        <v>1470</v>
      </c>
      <c r="E91" s="43" t="s">
        <v>327</v>
      </c>
      <c r="F91" s="48" t="s">
        <v>25</v>
      </c>
      <c r="G91" s="44" t="s">
        <v>1474</v>
      </c>
      <c r="H91" s="38">
        <v>71</v>
      </c>
      <c r="I91" s="38">
        <v>0</v>
      </c>
      <c r="J91" s="38">
        <v>25</v>
      </c>
      <c r="K91" s="38">
        <v>96</v>
      </c>
    </row>
    <row r="92" spans="1:11" x14ac:dyDescent="0.25">
      <c r="A92" s="90">
        <v>45748.867893518516</v>
      </c>
      <c r="B92" s="3" t="s">
        <v>1348</v>
      </c>
      <c r="C92" s="60" t="s">
        <v>1350</v>
      </c>
      <c r="D92" s="61" t="s">
        <v>1471</v>
      </c>
      <c r="E92" s="43" t="s">
        <v>327</v>
      </c>
      <c r="F92" s="48" t="s">
        <v>25</v>
      </c>
      <c r="G92" s="44" t="s">
        <v>1475</v>
      </c>
      <c r="H92" s="38">
        <v>102</v>
      </c>
      <c r="I92" s="38">
        <v>0</v>
      </c>
      <c r="J92" s="38">
        <v>20</v>
      </c>
      <c r="K92" s="38">
        <v>122</v>
      </c>
    </row>
    <row r="93" spans="1:11" x14ac:dyDescent="0.25">
      <c r="A93" s="90">
        <v>45748.86582175926</v>
      </c>
      <c r="B93" s="3" t="s">
        <v>29</v>
      </c>
      <c r="C93" s="60" t="s">
        <v>30</v>
      </c>
      <c r="D93" s="61" t="s">
        <v>1472</v>
      </c>
      <c r="E93" s="43" t="s">
        <v>390</v>
      </c>
      <c r="F93" s="48" t="s">
        <v>25</v>
      </c>
      <c r="G93" s="44" t="s">
        <v>1476</v>
      </c>
      <c r="H93" s="38">
        <v>137</v>
      </c>
      <c r="I93" s="38">
        <v>0</v>
      </c>
      <c r="J93" s="38">
        <v>20</v>
      </c>
      <c r="K93" s="38">
        <v>157</v>
      </c>
    </row>
    <row r="94" spans="1:11" x14ac:dyDescent="0.25">
      <c r="A94" s="90">
        <v>45747.783587962964</v>
      </c>
      <c r="B94" s="3" t="s">
        <v>15</v>
      </c>
      <c r="C94" s="60" t="s">
        <v>54</v>
      </c>
      <c r="D94" s="61" t="s">
        <v>1428</v>
      </c>
      <c r="E94" s="43" t="s">
        <v>1429</v>
      </c>
      <c r="F94" s="48" t="s">
        <v>25</v>
      </c>
      <c r="G94" s="44" t="s">
        <v>1430</v>
      </c>
      <c r="H94" s="38">
        <v>166</v>
      </c>
      <c r="I94" s="38">
        <v>0</v>
      </c>
      <c r="J94" s="38">
        <v>20</v>
      </c>
      <c r="K94" s="38">
        <v>186</v>
      </c>
    </row>
    <row r="95" spans="1:11" x14ac:dyDescent="0.25">
      <c r="A95" s="90">
        <v>45745.722974537035</v>
      </c>
      <c r="B95" s="3" t="s">
        <v>1143</v>
      </c>
      <c r="C95" s="60" t="s">
        <v>1145</v>
      </c>
      <c r="D95" s="61" t="s">
        <v>1401</v>
      </c>
      <c r="E95" s="43" t="s">
        <v>966</v>
      </c>
      <c r="F95" s="48" t="s">
        <v>25</v>
      </c>
      <c r="G95" s="44" t="s">
        <v>1413</v>
      </c>
      <c r="H95" s="38">
        <v>199</v>
      </c>
      <c r="I95" s="38">
        <v>0</v>
      </c>
      <c r="J95" s="38">
        <v>20</v>
      </c>
      <c r="K95" s="38">
        <v>220</v>
      </c>
    </row>
    <row r="96" spans="1:11" x14ac:dyDescent="0.25">
      <c r="A96" s="90">
        <v>45745.721145833333</v>
      </c>
      <c r="B96" s="3" t="s">
        <v>1348</v>
      </c>
      <c r="C96" s="60" t="s">
        <v>1350</v>
      </c>
      <c r="D96" s="61" t="s">
        <v>1402</v>
      </c>
      <c r="E96" s="43" t="s">
        <v>327</v>
      </c>
      <c r="F96" s="48" t="s">
        <v>25</v>
      </c>
      <c r="G96" s="44" t="s">
        <v>1414</v>
      </c>
      <c r="H96" s="38">
        <v>96</v>
      </c>
      <c r="I96" s="38">
        <v>0</v>
      </c>
      <c r="J96" s="38">
        <v>20</v>
      </c>
      <c r="K96" s="38">
        <v>116</v>
      </c>
    </row>
    <row r="97" spans="1:11" x14ac:dyDescent="0.25">
      <c r="A97" s="90">
        <v>45744.693368055552</v>
      </c>
      <c r="B97" s="3" t="s">
        <v>418</v>
      </c>
      <c r="C97" s="60" t="s">
        <v>200</v>
      </c>
      <c r="D97" s="61" t="s">
        <v>1403</v>
      </c>
      <c r="E97" s="43" t="s">
        <v>1415</v>
      </c>
      <c r="F97" s="48" t="s">
        <v>25</v>
      </c>
      <c r="G97" s="44" t="s">
        <v>1416</v>
      </c>
      <c r="H97" s="38">
        <v>42</v>
      </c>
      <c r="I97" s="38">
        <v>0</v>
      </c>
      <c r="J97" s="38">
        <v>20</v>
      </c>
      <c r="K97" s="38">
        <v>62</v>
      </c>
    </row>
    <row r="98" spans="1:11" x14ac:dyDescent="0.25">
      <c r="A98" s="90">
        <v>45744.688946759263</v>
      </c>
      <c r="B98" s="3" t="s">
        <v>246</v>
      </c>
      <c r="C98" s="60" t="s">
        <v>424</v>
      </c>
      <c r="D98" s="61" t="s">
        <v>1404</v>
      </c>
      <c r="E98" s="43" t="s">
        <v>1417</v>
      </c>
      <c r="F98" s="48" t="s">
        <v>25</v>
      </c>
      <c r="G98" s="44" t="s">
        <v>1418</v>
      </c>
      <c r="H98" s="38">
        <v>175</v>
      </c>
      <c r="I98" s="38">
        <v>0</v>
      </c>
      <c r="J98" s="38">
        <v>20</v>
      </c>
      <c r="K98" s="38">
        <v>195</v>
      </c>
    </row>
    <row r="99" spans="1:11" x14ac:dyDescent="0.25">
      <c r="A99" s="90">
        <v>45743.769537037035</v>
      </c>
      <c r="B99" s="3" t="s">
        <v>253</v>
      </c>
      <c r="C99" s="60" t="s">
        <v>353</v>
      </c>
      <c r="D99" s="61" t="s">
        <v>1405</v>
      </c>
      <c r="E99" s="43" t="s">
        <v>1419</v>
      </c>
      <c r="F99" s="48" t="s">
        <v>25</v>
      </c>
      <c r="G99" s="44" t="s">
        <v>1420</v>
      </c>
      <c r="H99" s="38">
        <v>142</v>
      </c>
      <c r="I99" s="38">
        <v>0</v>
      </c>
      <c r="J99" s="38">
        <v>20</v>
      </c>
      <c r="K99" s="38">
        <v>162</v>
      </c>
    </row>
    <row r="100" spans="1:11" x14ac:dyDescent="0.25">
      <c r="A100" s="90">
        <v>45742.658472222225</v>
      </c>
      <c r="B100" s="3" t="s">
        <v>1143</v>
      </c>
      <c r="C100" s="60" t="s">
        <v>1145</v>
      </c>
      <c r="D100" s="61" t="s">
        <v>1406</v>
      </c>
      <c r="E100" s="43" t="s">
        <v>327</v>
      </c>
      <c r="F100" s="48" t="s">
        <v>25</v>
      </c>
      <c r="G100" s="44" t="s">
        <v>1421</v>
      </c>
      <c r="H100" s="38">
        <v>266</v>
      </c>
      <c r="I100" s="38">
        <v>0</v>
      </c>
      <c r="J100" s="38">
        <v>20</v>
      </c>
      <c r="K100" s="38">
        <v>286</v>
      </c>
    </row>
    <row r="101" spans="1:11" x14ac:dyDescent="0.25">
      <c r="A101" s="90">
        <v>45742.656678240739</v>
      </c>
      <c r="B101" s="3" t="s">
        <v>1407</v>
      </c>
      <c r="C101" s="60" t="s">
        <v>1408</v>
      </c>
      <c r="D101" s="61" t="s">
        <v>1409</v>
      </c>
      <c r="E101" s="43" t="s">
        <v>327</v>
      </c>
      <c r="F101" s="48" t="s">
        <v>25</v>
      </c>
      <c r="G101" s="44" t="s">
        <v>1422</v>
      </c>
      <c r="H101" s="38">
        <v>73</v>
      </c>
      <c r="I101" s="38">
        <v>0</v>
      </c>
      <c r="J101" s="38">
        <v>20</v>
      </c>
      <c r="K101" s="38">
        <v>93</v>
      </c>
    </row>
    <row r="102" spans="1:11" x14ac:dyDescent="0.25">
      <c r="A102" s="90">
        <v>45741.826550925929</v>
      </c>
      <c r="B102" s="3" t="s">
        <v>1176</v>
      </c>
      <c r="C102" s="60" t="s">
        <v>1178</v>
      </c>
      <c r="D102" s="61" t="s">
        <v>1410</v>
      </c>
      <c r="E102" s="43" t="s">
        <v>1423</v>
      </c>
      <c r="F102" s="48" t="s">
        <v>25</v>
      </c>
      <c r="G102" s="44" t="s">
        <v>1424</v>
      </c>
      <c r="H102" s="38">
        <v>165</v>
      </c>
      <c r="I102" s="38">
        <v>0</v>
      </c>
      <c r="J102" s="38">
        <v>20</v>
      </c>
      <c r="K102" s="38">
        <v>185</v>
      </c>
    </row>
    <row r="103" spans="1:11" x14ac:dyDescent="0.25">
      <c r="A103" s="90">
        <v>45741.824502314812</v>
      </c>
      <c r="B103" s="3" t="s">
        <v>70</v>
      </c>
      <c r="C103" s="60" t="s">
        <v>425</v>
      </c>
      <c r="D103" s="61" t="s">
        <v>1411</v>
      </c>
      <c r="E103" s="43" t="s">
        <v>1425</v>
      </c>
      <c r="F103" s="48" t="s">
        <v>25</v>
      </c>
      <c r="G103" s="44" t="s">
        <v>1426</v>
      </c>
      <c r="H103" s="38">
        <v>600</v>
      </c>
      <c r="I103" s="38">
        <v>0</v>
      </c>
      <c r="J103" s="38">
        <v>20</v>
      </c>
      <c r="K103" s="38">
        <v>620</v>
      </c>
    </row>
    <row r="104" spans="1:11" x14ac:dyDescent="0.25">
      <c r="A104" s="90">
        <v>45737.747384259259</v>
      </c>
      <c r="B104" s="3" t="s">
        <v>211</v>
      </c>
      <c r="C104" s="60" t="s">
        <v>258</v>
      </c>
      <c r="D104" s="61" t="s">
        <v>1412</v>
      </c>
      <c r="E104" s="43" t="s">
        <v>327</v>
      </c>
      <c r="F104" s="48" t="s">
        <v>25</v>
      </c>
      <c r="G104" s="44" t="s">
        <v>1427</v>
      </c>
      <c r="H104" s="38">
        <v>56</v>
      </c>
      <c r="I104" s="38">
        <v>0</v>
      </c>
      <c r="J104" s="38">
        <v>20</v>
      </c>
      <c r="K104" s="38">
        <v>94</v>
      </c>
    </row>
    <row r="105" spans="1:11" x14ac:dyDescent="0.25">
      <c r="A105" s="90">
        <v>45736.552071759259</v>
      </c>
      <c r="B105" s="3" t="s">
        <v>15</v>
      </c>
      <c r="C105" s="60" t="s">
        <v>54</v>
      </c>
      <c r="D105" s="61" t="s">
        <v>1392</v>
      </c>
      <c r="E105" s="43" t="s">
        <v>1393</v>
      </c>
      <c r="F105" s="48" t="s">
        <v>25</v>
      </c>
      <c r="G105" s="44" t="s">
        <v>1394</v>
      </c>
      <c r="H105" s="38">
        <v>147</v>
      </c>
      <c r="I105" s="38">
        <v>0</v>
      </c>
      <c r="J105" s="38">
        <v>20</v>
      </c>
      <c r="K105" s="38">
        <v>167</v>
      </c>
    </row>
    <row r="106" spans="1:11" x14ac:dyDescent="0.25">
      <c r="A106" s="90">
        <v>45735.920590277776</v>
      </c>
      <c r="B106" s="3" t="s">
        <v>1387</v>
      </c>
      <c r="C106" s="60" t="s">
        <v>1389</v>
      </c>
      <c r="D106" s="61" t="s">
        <v>1390</v>
      </c>
      <c r="E106" s="43" t="s">
        <v>392</v>
      </c>
      <c r="F106" s="48" t="s">
        <v>25</v>
      </c>
      <c r="G106" s="44" t="s">
        <v>1391</v>
      </c>
      <c r="H106" s="38">
        <v>62</v>
      </c>
      <c r="I106" s="38">
        <v>0</v>
      </c>
      <c r="J106" s="38">
        <v>20</v>
      </c>
      <c r="K106" s="38">
        <v>82</v>
      </c>
    </row>
    <row r="107" spans="1:11" x14ac:dyDescent="0.25">
      <c r="A107" s="90">
        <v>45735.913391203707</v>
      </c>
      <c r="B107" s="3" t="s">
        <v>128</v>
      </c>
      <c r="C107" s="60" t="s">
        <v>129</v>
      </c>
      <c r="D107" s="61" t="s">
        <v>1385</v>
      </c>
      <c r="E107" s="43" t="s">
        <v>392</v>
      </c>
      <c r="F107" s="48" t="s">
        <v>25</v>
      </c>
      <c r="G107" s="44" t="s">
        <v>1386</v>
      </c>
      <c r="H107" s="38">
        <v>228</v>
      </c>
      <c r="I107" s="38">
        <v>0</v>
      </c>
      <c r="J107" s="38">
        <v>20</v>
      </c>
      <c r="K107" s="38">
        <v>248</v>
      </c>
    </row>
    <row r="108" spans="1:11" x14ac:dyDescent="0.25">
      <c r="A108" s="90">
        <v>45735.90824074074</v>
      </c>
      <c r="B108" s="3" t="s">
        <v>29</v>
      </c>
      <c r="C108" s="60" t="s">
        <v>30</v>
      </c>
      <c r="D108" s="61" t="s">
        <v>1382</v>
      </c>
      <c r="E108" s="43" t="s">
        <v>327</v>
      </c>
      <c r="F108" s="48" t="s">
        <v>25</v>
      </c>
      <c r="G108" s="44" t="s">
        <v>1383</v>
      </c>
      <c r="H108" s="38">
        <v>99</v>
      </c>
      <c r="I108" s="38">
        <v>0</v>
      </c>
      <c r="J108" s="38">
        <v>20</v>
      </c>
      <c r="K108" s="38">
        <v>109</v>
      </c>
    </row>
    <row r="109" spans="1:11" x14ac:dyDescent="0.25">
      <c r="A109" s="90">
        <v>45735.906886574077</v>
      </c>
      <c r="B109" s="3" t="s">
        <v>15</v>
      </c>
      <c r="C109" s="60" t="s">
        <v>54</v>
      </c>
      <c r="D109" s="61" t="s">
        <v>1380</v>
      </c>
      <c r="E109" s="43" t="s">
        <v>327</v>
      </c>
      <c r="F109" s="48" t="s">
        <v>25</v>
      </c>
      <c r="G109" s="44" t="s">
        <v>1381</v>
      </c>
      <c r="H109" s="38">
        <v>68</v>
      </c>
      <c r="I109" s="38">
        <v>0</v>
      </c>
      <c r="J109" s="38">
        <v>20</v>
      </c>
      <c r="K109" s="38">
        <v>88</v>
      </c>
    </row>
    <row r="110" spans="1:11" x14ac:dyDescent="0.25">
      <c r="A110" s="90">
        <v>45735.855567129627</v>
      </c>
      <c r="B110" s="3" t="s">
        <v>413</v>
      </c>
      <c r="C110" s="60" t="s">
        <v>272</v>
      </c>
      <c r="D110" s="61" t="s">
        <v>1378</v>
      </c>
      <c r="E110" s="43" t="s">
        <v>207</v>
      </c>
      <c r="F110" s="48" t="s">
        <v>25</v>
      </c>
      <c r="G110" s="44" t="s">
        <v>1379</v>
      </c>
      <c r="H110" s="38">
        <v>0</v>
      </c>
      <c r="I110" s="38">
        <v>0</v>
      </c>
      <c r="J110" s="38">
        <v>20</v>
      </c>
      <c r="K110" s="38">
        <v>20</v>
      </c>
    </row>
    <row r="111" spans="1:11" x14ac:dyDescent="0.25">
      <c r="A111" s="90">
        <v>45735.852141203701</v>
      </c>
      <c r="B111" s="3" t="s">
        <v>15</v>
      </c>
      <c r="C111" s="60" t="s">
        <v>54</v>
      </c>
      <c r="D111" s="61" t="s">
        <v>1376</v>
      </c>
      <c r="E111" s="43" t="s">
        <v>327</v>
      </c>
      <c r="F111" s="48" t="s">
        <v>25</v>
      </c>
      <c r="G111" s="44" t="s">
        <v>1377</v>
      </c>
      <c r="H111" s="38">
        <v>68</v>
      </c>
      <c r="I111" s="38">
        <v>0</v>
      </c>
      <c r="J111" s="38">
        <v>26</v>
      </c>
      <c r="K111" s="38">
        <v>94</v>
      </c>
    </row>
    <row r="112" spans="1:11" x14ac:dyDescent="0.25">
      <c r="A112" s="90">
        <v>45734.907951388886</v>
      </c>
      <c r="B112" s="3" t="s">
        <v>1153</v>
      </c>
      <c r="C112" s="60" t="s">
        <v>1155</v>
      </c>
      <c r="D112" s="61" t="s">
        <v>1374</v>
      </c>
      <c r="E112" s="43" t="s">
        <v>331</v>
      </c>
      <c r="F112" s="48" t="s">
        <v>25</v>
      </c>
      <c r="G112" s="44" t="s">
        <v>1375</v>
      </c>
      <c r="H112" s="38">
        <v>106</v>
      </c>
      <c r="I112" s="38">
        <v>30</v>
      </c>
      <c r="J112" s="38">
        <v>20</v>
      </c>
      <c r="K112" s="38">
        <v>156</v>
      </c>
    </row>
    <row r="113" spans="1:11" x14ac:dyDescent="0.25">
      <c r="A113" s="90">
        <v>45734.723333333335</v>
      </c>
      <c r="B113" s="3" t="s">
        <v>371</v>
      </c>
      <c r="C113" s="60" t="s">
        <v>373</v>
      </c>
      <c r="D113" s="61" t="s">
        <v>1372</v>
      </c>
      <c r="E113" s="43" t="s">
        <v>330</v>
      </c>
      <c r="F113" s="48" t="s">
        <v>25</v>
      </c>
      <c r="G113" s="44" t="s">
        <v>1373</v>
      </c>
      <c r="H113" s="38">
        <v>175</v>
      </c>
      <c r="I113" s="38">
        <v>0</v>
      </c>
      <c r="J113" s="38">
        <v>20</v>
      </c>
      <c r="K113" s="38">
        <v>195</v>
      </c>
    </row>
    <row r="114" spans="1:11" x14ac:dyDescent="0.25">
      <c r="A114" s="90">
        <v>45734.720231481479</v>
      </c>
      <c r="B114" s="3" t="s">
        <v>1366</v>
      </c>
      <c r="C114" s="60" t="s">
        <v>1368</v>
      </c>
      <c r="D114" s="61" t="s">
        <v>1369</v>
      </c>
      <c r="E114" s="43" t="s">
        <v>1370</v>
      </c>
      <c r="F114" s="48" t="s">
        <v>25</v>
      </c>
      <c r="G114" s="44" t="s">
        <v>1371</v>
      </c>
      <c r="H114" s="38">
        <v>95</v>
      </c>
      <c r="I114" s="38">
        <v>0</v>
      </c>
      <c r="J114" s="38">
        <v>20</v>
      </c>
      <c r="K114" s="38">
        <v>115</v>
      </c>
    </row>
    <row r="115" spans="1:11" x14ac:dyDescent="0.25">
      <c r="A115" s="90">
        <v>45734.717824074076</v>
      </c>
      <c r="B115" s="3" t="s">
        <v>70</v>
      </c>
      <c r="C115" s="60" t="s">
        <v>425</v>
      </c>
      <c r="D115" s="61" t="s">
        <v>1364</v>
      </c>
      <c r="E115" s="43" t="s">
        <v>327</v>
      </c>
      <c r="F115" s="48" t="s">
        <v>25</v>
      </c>
      <c r="G115" s="44" t="s">
        <v>1365</v>
      </c>
      <c r="H115" s="38">
        <v>250</v>
      </c>
      <c r="I115" s="38">
        <v>0</v>
      </c>
      <c r="J115" s="38">
        <v>20</v>
      </c>
      <c r="K115" s="38">
        <v>270</v>
      </c>
    </row>
    <row r="116" spans="1:11" x14ac:dyDescent="0.25">
      <c r="A116" s="90">
        <v>45733.836400462962</v>
      </c>
      <c r="B116" s="3" t="s">
        <v>1176</v>
      </c>
      <c r="C116" s="60" t="s">
        <v>1178</v>
      </c>
      <c r="D116" s="61" t="s">
        <v>1362</v>
      </c>
      <c r="E116" s="43" t="s">
        <v>327</v>
      </c>
      <c r="F116" s="48" t="s">
        <v>25</v>
      </c>
      <c r="G116" s="44" t="s">
        <v>1363</v>
      </c>
      <c r="H116" s="38">
        <v>112</v>
      </c>
      <c r="I116" s="38">
        <v>10</v>
      </c>
      <c r="J116" s="38">
        <v>20</v>
      </c>
      <c r="K116" s="38">
        <v>142</v>
      </c>
    </row>
    <row r="117" spans="1:11" x14ac:dyDescent="0.25">
      <c r="A117" s="90">
        <v>45733.833055555559</v>
      </c>
      <c r="B117" s="3" t="s">
        <v>15</v>
      </c>
      <c r="C117" s="60" t="s">
        <v>54</v>
      </c>
      <c r="D117" s="61" t="s">
        <v>1360</v>
      </c>
      <c r="E117" s="43" t="s">
        <v>1225</v>
      </c>
      <c r="F117" s="48" t="s">
        <v>25</v>
      </c>
      <c r="G117" s="44" t="s">
        <v>1361</v>
      </c>
      <c r="H117" s="38">
        <v>248</v>
      </c>
      <c r="I117" s="38">
        <v>0</v>
      </c>
      <c r="J117" s="38">
        <v>20</v>
      </c>
      <c r="K117" s="38">
        <v>268</v>
      </c>
    </row>
    <row r="118" spans="1:11" x14ac:dyDescent="0.25">
      <c r="A118" s="90">
        <v>45733.830706018518</v>
      </c>
      <c r="B118" s="3" t="s">
        <v>211</v>
      </c>
      <c r="C118" s="60" t="s">
        <v>258</v>
      </c>
      <c r="D118" s="61" t="s">
        <v>1357</v>
      </c>
      <c r="E118" s="43" t="s">
        <v>1358</v>
      </c>
      <c r="F118" s="48" t="s">
        <v>25</v>
      </c>
      <c r="G118" s="44" t="s">
        <v>1359</v>
      </c>
      <c r="H118" s="38">
        <v>115</v>
      </c>
      <c r="I118" s="38">
        <v>0</v>
      </c>
      <c r="J118" s="38">
        <v>20</v>
      </c>
      <c r="K118" s="38">
        <v>135</v>
      </c>
    </row>
    <row r="119" spans="1:11" x14ac:dyDescent="0.25">
      <c r="A119" s="90">
        <v>45733.818703703706</v>
      </c>
      <c r="B119" s="3" t="s">
        <v>423</v>
      </c>
      <c r="C119" s="60" t="s">
        <v>311</v>
      </c>
      <c r="D119" s="61" t="s">
        <v>1354</v>
      </c>
      <c r="E119" s="43" t="s">
        <v>1355</v>
      </c>
      <c r="F119" s="48" t="s">
        <v>25</v>
      </c>
      <c r="G119" s="44" t="s">
        <v>1356</v>
      </c>
      <c r="H119" s="38">
        <v>513</v>
      </c>
      <c r="I119" s="38">
        <v>0</v>
      </c>
      <c r="J119" s="38">
        <v>100</v>
      </c>
      <c r="K119" s="38">
        <v>613</v>
      </c>
    </row>
    <row r="120" spans="1:11" x14ac:dyDescent="0.25">
      <c r="A120" s="90">
        <v>45733.452488425923</v>
      </c>
      <c r="B120" s="3" t="s">
        <v>1348</v>
      </c>
      <c r="C120" s="60" t="s">
        <v>1350</v>
      </c>
      <c r="D120" s="61" t="s">
        <v>1351</v>
      </c>
      <c r="E120" s="43" t="s">
        <v>1352</v>
      </c>
      <c r="F120" s="48" t="s">
        <v>25</v>
      </c>
      <c r="G120" s="44" t="s">
        <v>1353</v>
      </c>
      <c r="H120" s="38">
        <v>143</v>
      </c>
      <c r="I120" s="38">
        <v>0</v>
      </c>
      <c r="J120" s="38">
        <v>20</v>
      </c>
      <c r="K120" s="38">
        <v>163</v>
      </c>
    </row>
    <row r="121" spans="1:11" x14ac:dyDescent="0.25">
      <c r="A121" s="90">
        <v>45730.907766203702</v>
      </c>
      <c r="B121" s="3" t="s">
        <v>1295</v>
      </c>
      <c r="C121" s="60" t="s">
        <v>1297</v>
      </c>
      <c r="D121" s="61" t="s">
        <v>1346</v>
      </c>
      <c r="E121" s="43" t="s">
        <v>327</v>
      </c>
      <c r="F121" s="48" t="s">
        <v>25</v>
      </c>
      <c r="G121" s="44" t="s">
        <v>1347</v>
      </c>
      <c r="H121" s="38">
        <v>92</v>
      </c>
      <c r="I121" s="38">
        <v>0</v>
      </c>
      <c r="J121" s="38">
        <v>20</v>
      </c>
      <c r="K121" s="38">
        <v>102</v>
      </c>
    </row>
    <row r="122" spans="1:11" x14ac:dyDescent="0.25">
      <c r="A122" s="90">
        <v>45730.905949074076</v>
      </c>
      <c r="B122" s="3" t="s">
        <v>1153</v>
      </c>
      <c r="C122" s="60" t="s">
        <v>1155</v>
      </c>
      <c r="D122" s="61" t="s">
        <v>1344</v>
      </c>
      <c r="E122" s="43" t="s">
        <v>327</v>
      </c>
      <c r="F122" s="48" t="s">
        <v>25</v>
      </c>
      <c r="G122" s="44" t="s">
        <v>1345</v>
      </c>
      <c r="H122" s="38">
        <v>110</v>
      </c>
      <c r="I122" s="38">
        <v>0</v>
      </c>
      <c r="J122" s="38">
        <v>20</v>
      </c>
      <c r="K122" s="38">
        <v>130</v>
      </c>
    </row>
    <row r="123" spans="1:11" x14ac:dyDescent="0.25">
      <c r="A123" s="90">
        <v>45730.904768518521</v>
      </c>
      <c r="B123" s="3" t="s">
        <v>15</v>
      </c>
      <c r="C123" s="60" t="s">
        <v>54</v>
      </c>
      <c r="D123" s="61" t="s">
        <v>1342</v>
      </c>
      <c r="E123" s="43" t="s">
        <v>966</v>
      </c>
      <c r="F123" s="48" t="s">
        <v>25</v>
      </c>
      <c r="G123" s="44" t="s">
        <v>1343</v>
      </c>
      <c r="H123" s="38">
        <v>714</v>
      </c>
      <c r="I123" s="38">
        <v>0</v>
      </c>
      <c r="J123" s="38">
        <v>20</v>
      </c>
      <c r="K123" s="38">
        <v>734</v>
      </c>
    </row>
    <row r="124" spans="1:11" x14ac:dyDescent="0.25">
      <c r="A124" s="90">
        <v>45730.904027777775</v>
      </c>
      <c r="B124" s="3" t="s">
        <v>1181</v>
      </c>
      <c r="C124" s="60" t="s">
        <v>1183</v>
      </c>
      <c r="D124" s="61" t="s">
        <v>1340</v>
      </c>
      <c r="E124" s="43" t="s">
        <v>1049</v>
      </c>
      <c r="F124" s="48" t="s">
        <v>25</v>
      </c>
      <c r="G124" s="44" t="s">
        <v>1341</v>
      </c>
      <c r="H124" s="38">
        <v>80</v>
      </c>
      <c r="I124" s="38">
        <v>0</v>
      </c>
      <c r="J124" s="38">
        <v>30</v>
      </c>
      <c r="K124" s="38">
        <v>110</v>
      </c>
    </row>
    <row r="125" spans="1:11" x14ac:dyDescent="0.25">
      <c r="A125" s="90">
        <v>45730.902291666665</v>
      </c>
      <c r="B125" s="3" t="s">
        <v>418</v>
      </c>
      <c r="C125" s="60" t="s">
        <v>200</v>
      </c>
      <c r="D125" s="61" t="s">
        <v>1337</v>
      </c>
      <c r="E125" s="43" t="s">
        <v>1338</v>
      </c>
      <c r="F125" s="48" t="s">
        <v>25</v>
      </c>
      <c r="G125" s="44" t="s">
        <v>1339</v>
      </c>
      <c r="H125" s="38">
        <v>92</v>
      </c>
      <c r="I125" s="38">
        <v>0</v>
      </c>
      <c r="J125" s="38">
        <v>20</v>
      </c>
      <c r="K125" s="38">
        <v>112</v>
      </c>
    </row>
    <row r="126" spans="1:11" x14ac:dyDescent="0.25">
      <c r="A126" s="90">
        <v>45730.90121527778</v>
      </c>
      <c r="B126" s="3" t="s">
        <v>413</v>
      </c>
      <c r="C126" s="60" t="s">
        <v>272</v>
      </c>
      <c r="D126" s="61" t="s">
        <v>1335</v>
      </c>
      <c r="E126" s="43" t="s">
        <v>327</v>
      </c>
      <c r="F126" s="48" t="s">
        <v>25</v>
      </c>
      <c r="G126" s="44" t="s">
        <v>1336</v>
      </c>
      <c r="H126" s="38">
        <v>156</v>
      </c>
      <c r="I126" s="38">
        <v>0</v>
      </c>
      <c r="J126" s="38">
        <v>20</v>
      </c>
      <c r="K126" s="38">
        <v>176</v>
      </c>
    </row>
    <row r="127" spans="1:11" x14ac:dyDescent="0.25">
      <c r="A127" s="90">
        <v>45730.899606481478</v>
      </c>
      <c r="B127" s="3" t="s">
        <v>188</v>
      </c>
      <c r="C127" s="60" t="s">
        <v>201</v>
      </c>
      <c r="D127" s="61" t="s">
        <v>1333</v>
      </c>
      <c r="E127" s="43" t="s">
        <v>1219</v>
      </c>
      <c r="F127" s="48" t="s">
        <v>25</v>
      </c>
      <c r="G127" s="44" t="s">
        <v>1334</v>
      </c>
      <c r="H127" s="38">
        <v>50</v>
      </c>
      <c r="I127" s="38">
        <v>0</v>
      </c>
      <c r="J127" s="38">
        <v>20</v>
      </c>
      <c r="K127" s="38">
        <v>70</v>
      </c>
    </row>
    <row r="128" spans="1:11" x14ac:dyDescent="0.25">
      <c r="A128" s="90">
        <v>45730.899004629631</v>
      </c>
      <c r="B128" s="3" t="s">
        <v>1221</v>
      </c>
      <c r="C128" s="60" t="s">
        <v>1223</v>
      </c>
      <c r="D128" s="61" t="s">
        <v>1331</v>
      </c>
      <c r="E128" s="43" t="s">
        <v>1225</v>
      </c>
      <c r="F128" s="48" t="s">
        <v>25</v>
      </c>
      <c r="G128" s="44" t="s">
        <v>1332</v>
      </c>
      <c r="H128" s="38">
        <v>630</v>
      </c>
      <c r="I128" s="38">
        <v>0</v>
      </c>
      <c r="J128" s="38">
        <v>20</v>
      </c>
      <c r="K128" s="38">
        <v>650</v>
      </c>
    </row>
    <row r="129" spans="1:11" x14ac:dyDescent="0.25">
      <c r="A129" s="90">
        <v>45730.897812499999</v>
      </c>
      <c r="B129" s="3" t="s">
        <v>1324</v>
      </c>
      <c r="C129" s="60" t="s">
        <v>1326</v>
      </c>
      <c r="D129" s="61" t="s">
        <v>1329</v>
      </c>
      <c r="E129" s="43" t="s">
        <v>327</v>
      </c>
      <c r="F129" s="48" t="s">
        <v>25</v>
      </c>
      <c r="G129" s="44" t="s">
        <v>1330</v>
      </c>
      <c r="H129" s="38">
        <v>50</v>
      </c>
      <c r="I129" s="38">
        <v>0</v>
      </c>
      <c r="J129" s="38">
        <v>0</v>
      </c>
      <c r="K129" s="38">
        <v>50</v>
      </c>
    </row>
    <row r="130" spans="1:11" x14ac:dyDescent="0.25">
      <c r="A130" s="90">
        <v>45729.927002314813</v>
      </c>
      <c r="B130" s="3" t="s">
        <v>1324</v>
      </c>
      <c r="C130" s="60" t="s">
        <v>1326</v>
      </c>
      <c r="D130" s="61" t="s">
        <v>1327</v>
      </c>
      <c r="E130" s="43" t="s">
        <v>1174</v>
      </c>
      <c r="F130" s="48" t="s">
        <v>25</v>
      </c>
      <c r="G130" s="44" t="s">
        <v>1328</v>
      </c>
      <c r="H130" s="38">
        <v>0</v>
      </c>
      <c r="I130" s="38">
        <v>0</v>
      </c>
      <c r="J130" s="38">
        <v>50</v>
      </c>
      <c r="K130" s="38">
        <v>50</v>
      </c>
    </row>
    <row r="131" spans="1:11" x14ac:dyDescent="0.25">
      <c r="A131" s="90">
        <v>45729.85255787037</v>
      </c>
      <c r="B131" s="3" t="s">
        <v>413</v>
      </c>
      <c r="C131" s="60" t="s">
        <v>272</v>
      </c>
      <c r="D131" s="61" t="s">
        <v>1320</v>
      </c>
      <c r="E131" s="43" t="s">
        <v>327</v>
      </c>
      <c r="F131" s="48" t="s">
        <v>14</v>
      </c>
      <c r="G131" s="44" t="s">
        <v>1322</v>
      </c>
      <c r="H131" s="38">
        <v>224</v>
      </c>
      <c r="I131" s="38">
        <v>0</v>
      </c>
      <c r="J131" s="38">
        <v>20</v>
      </c>
      <c r="K131" s="38">
        <v>244</v>
      </c>
    </row>
    <row r="132" spans="1:11" x14ac:dyDescent="0.25">
      <c r="A132" s="90">
        <v>45729.850289351853</v>
      </c>
      <c r="B132" s="3" t="s">
        <v>211</v>
      </c>
      <c r="C132" s="60" t="s">
        <v>258</v>
      </c>
      <c r="D132" s="61" t="s">
        <v>1321</v>
      </c>
      <c r="E132" s="43" t="s">
        <v>327</v>
      </c>
      <c r="F132" s="48" t="s">
        <v>25</v>
      </c>
      <c r="G132" s="44" t="s">
        <v>1323</v>
      </c>
      <c r="H132" s="38">
        <v>56</v>
      </c>
      <c r="I132" s="38">
        <v>0</v>
      </c>
      <c r="J132" s="38">
        <v>20</v>
      </c>
      <c r="K132" s="38">
        <v>76</v>
      </c>
    </row>
    <row r="133" spans="1:11" x14ac:dyDescent="0.25">
      <c r="A133" s="90">
        <v>45729.920624999999</v>
      </c>
      <c r="B133" s="3" t="s">
        <v>15</v>
      </c>
      <c r="C133" s="60" t="s">
        <v>54</v>
      </c>
      <c r="D133" s="61" t="s">
        <v>1318</v>
      </c>
      <c r="E133" s="43" t="s">
        <v>327</v>
      </c>
      <c r="F133" s="48" t="s">
        <v>25</v>
      </c>
      <c r="G133" s="44" t="s">
        <v>1319</v>
      </c>
      <c r="H133" s="38">
        <v>148</v>
      </c>
      <c r="I133" s="38">
        <v>0</v>
      </c>
      <c r="J133" s="38">
        <v>20</v>
      </c>
      <c r="K133" s="38">
        <v>168</v>
      </c>
    </row>
    <row r="134" spans="1:11" x14ac:dyDescent="0.25">
      <c r="A134" s="90">
        <v>45729.917037037034</v>
      </c>
      <c r="B134" s="3" t="s">
        <v>1162</v>
      </c>
      <c r="C134" s="60" t="s">
        <v>1164</v>
      </c>
      <c r="D134" s="61" t="s">
        <v>1316</v>
      </c>
      <c r="E134" s="43" t="s">
        <v>327</v>
      </c>
      <c r="F134" s="48" t="s">
        <v>25</v>
      </c>
      <c r="G134" s="44" t="s">
        <v>1317</v>
      </c>
      <c r="H134" s="38">
        <v>435</v>
      </c>
      <c r="I134" s="38">
        <v>0</v>
      </c>
      <c r="J134" s="38">
        <v>20</v>
      </c>
      <c r="K134" s="38">
        <v>455</v>
      </c>
    </row>
    <row r="135" spans="1:11" x14ac:dyDescent="0.25">
      <c r="A135" s="90">
        <v>45729.914664351854</v>
      </c>
      <c r="B135" s="3" t="s">
        <v>1295</v>
      </c>
      <c r="C135" s="60" t="s">
        <v>1297</v>
      </c>
      <c r="D135" s="61" t="s">
        <v>1314</v>
      </c>
      <c r="E135" s="43" t="s">
        <v>327</v>
      </c>
      <c r="F135" s="48" t="s">
        <v>25</v>
      </c>
      <c r="G135" s="44" t="s">
        <v>1315</v>
      </c>
      <c r="H135" s="38">
        <v>32</v>
      </c>
      <c r="I135" s="38">
        <v>0</v>
      </c>
      <c r="J135" s="38">
        <v>20</v>
      </c>
      <c r="K135" s="38">
        <v>52</v>
      </c>
    </row>
    <row r="136" spans="1:11" x14ac:dyDescent="0.25">
      <c r="A136" s="90">
        <v>45728.932013888887</v>
      </c>
      <c r="B136" s="3" t="s">
        <v>1033</v>
      </c>
      <c r="C136" s="60" t="s">
        <v>1035</v>
      </c>
      <c r="D136" s="61" t="s">
        <v>1312</v>
      </c>
      <c r="E136" s="43" t="s">
        <v>327</v>
      </c>
      <c r="F136" s="48" t="s">
        <v>25</v>
      </c>
      <c r="G136" s="44" t="s">
        <v>1313</v>
      </c>
      <c r="H136" s="38">
        <v>63</v>
      </c>
      <c r="I136" s="38">
        <v>0</v>
      </c>
      <c r="J136" s="38">
        <v>20</v>
      </c>
      <c r="K136" s="38">
        <v>83</v>
      </c>
    </row>
    <row r="137" spans="1:11" x14ac:dyDescent="0.25">
      <c r="A137" s="90">
        <v>45728.931261574071</v>
      </c>
      <c r="B137" s="3" t="s">
        <v>347</v>
      </c>
      <c r="C137" s="60" t="s">
        <v>349</v>
      </c>
      <c r="D137" s="61" t="s">
        <v>1310</v>
      </c>
      <c r="E137" s="43" t="s">
        <v>327</v>
      </c>
      <c r="F137" s="48" t="s">
        <v>25</v>
      </c>
      <c r="G137" s="44" t="s">
        <v>1311</v>
      </c>
      <c r="H137" s="38">
        <v>106</v>
      </c>
      <c r="I137" s="38">
        <v>0</v>
      </c>
      <c r="J137" s="38">
        <v>20</v>
      </c>
      <c r="K137" s="38">
        <v>126</v>
      </c>
    </row>
    <row r="138" spans="1:11" x14ac:dyDescent="0.25">
      <c r="A138" s="90">
        <v>45728.93068287037</v>
      </c>
      <c r="B138" s="3" t="s">
        <v>1002</v>
      </c>
      <c r="C138" s="60" t="s">
        <v>1210</v>
      </c>
      <c r="D138" s="61" t="s">
        <v>1308</v>
      </c>
      <c r="E138" s="43" t="s">
        <v>327</v>
      </c>
      <c r="F138" s="48" t="s">
        <v>25</v>
      </c>
      <c r="G138" s="44" t="s">
        <v>1309</v>
      </c>
      <c r="H138" s="38">
        <v>18</v>
      </c>
      <c r="I138" s="38">
        <v>0</v>
      </c>
      <c r="J138" s="38">
        <v>20</v>
      </c>
      <c r="K138" s="38">
        <v>38</v>
      </c>
    </row>
    <row r="139" spans="1:11" x14ac:dyDescent="0.25">
      <c r="A139" s="90">
        <v>45728.929895833331</v>
      </c>
      <c r="B139" s="3" t="s">
        <v>211</v>
      </c>
      <c r="C139" s="60" t="s">
        <v>258</v>
      </c>
      <c r="D139" s="61" t="s">
        <v>1306</v>
      </c>
      <c r="E139" s="43" t="s">
        <v>327</v>
      </c>
      <c r="F139" s="48" t="s">
        <v>25</v>
      </c>
      <c r="G139" s="44" t="s">
        <v>1307</v>
      </c>
      <c r="H139" s="38">
        <v>64</v>
      </c>
      <c r="I139" s="38">
        <v>0</v>
      </c>
      <c r="J139" s="38">
        <v>20</v>
      </c>
      <c r="K139" s="38">
        <v>84</v>
      </c>
    </row>
    <row r="140" spans="1:11" x14ac:dyDescent="0.25">
      <c r="A140" s="90">
        <v>45728.928946759261</v>
      </c>
      <c r="B140" s="3" t="s">
        <v>1301</v>
      </c>
      <c r="C140" s="60" t="s">
        <v>304</v>
      </c>
      <c r="D140" s="61" t="s">
        <v>1304</v>
      </c>
      <c r="E140" s="43" t="s">
        <v>329</v>
      </c>
      <c r="F140" s="48" t="s">
        <v>25</v>
      </c>
      <c r="G140" s="44" t="s">
        <v>1305</v>
      </c>
      <c r="H140" s="38">
        <v>190</v>
      </c>
      <c r="I140" s="38">
        <v>0</v>
      </c>
      <c r="J140" s="38">
        <v>20</v>
      </c>
      <c r="K140" s="38">
        <v>210</v>
      </c>
    </row>
    <row r="141" spans="1:11" x14ac:dyDescent="0.25">
      <c r="A141" s="90">
        <v>1</v>
      </c>
      <c r="B141" s="3" t="s">
        <v>1295</v>
      </c>
      <c r="C141" s="60" t="s">
        <v>1297</v>
      </c>
      <c r="D141" s="61" t="s">
        <v>1298</v>
      </c>
      <c r="E141" s="43" t="s">
        <v>1299</v>
      </c>
      <c r="F141" s="48" t="s">
        <v>25</v>
      </c>
      <c r="G141" s="44" t="s">
        <v>1300</v>
      </c>
      <c r="H141" s="38">
        <v>25</v>
      </c>
      <c r="I141" s="38">
        <v>0</v>
      </c>
      <c r="J141" s="38">
        <v>20</v>
      </c>
      <c r="K141" s="38">
        <v>45</v>
      </c>
    </row>
    <row r="142" spans="1:11" x14ac:dyDescent="0.25">
      <c r="A142" s="90">
        <v>45727.833935185183</v>
      </c>
      <c r="B142" s="3" t="s">
        <v>188</v>
      </c>
      <c r="C142" s="60" t="s">
        <v>201</v>
      </c>
      <c r="D142" s="61" t="s">
        <v>1271</v>
      </c>
      <c r="E142" s="43" t="s">
        <v>327</v>
      </c>
      <c r="F142" s="48" t="s">
        <v>25</v>
      </c>
      <c r="G142" s="44" t="s">
        <v>1274</v>
      </c>
      <c r="H142" s="38">
        <v>56</v>
      </c>
      <c r="I142" s="38">
        <v>0</v>
      </c>
      <c r="J142" s="38">
        <v>20</v>
      </c>
      <c r="K142" s="38">
        <v>80</v>
      </c>
    </row>
    <row r="143" spans="1:11" x14ac:dyDescent="0.25">
      <c r="A143" s="90">
        <v>45727.64402777778</v>
      </c>
      <c r="B143" s="3" t="s">
        <v>15</v>
      </c>
      <c r="C143" s="60" t="s">
        <v>54</v>
      </c>
      <c r="D143" s="61" t="s">
        <v>1272</v>
      </c>
      <c r="E143" s="43" t="s">
        <v>1166</v>
      </c>
      <c r="F143" s="48" t="s">
        <v>25</v>
      </c>
      <c r="G143" s="44" t="s">
        <v>1275</v>
      </c>
      <c r="H143" s="38">
        <v>60</v>
      </c>
      <c r="I143" s="38">
        <v>0</v>
      </c>
      <c r="J143" s="38">
        <v>20</v>
      </c>
      <c r="K143" s="38">
        <v>80</v>
      </c>
    </row>
    <row r="144" spans="1:11" x14ac:dyDescent="0.25">
      <c r="A144" s="90">
        <v>45727.643206018518</v>
      </c>
      <c r="B144" s="3" t="s">
        <v>211</v>
      </c>
      <c r="C144" s="60" t="s">
        <v>258</v>
      </c>
      <c r="D144" s="61" t="s">
        <v>1273</v>
      </c>
      <c r="E144" s="43" t="s">
        <v>327</v>
      </c>
      <c r="F144" s="48" t="s">
        <v>25</v>
      </c>
      <c r="G144" s="44" t="s">
        <v>1276</v>
      </c>
      <c r="H144" s="38">
        <v>152</v>
      </c>
      <c r="I144" s="38">
        <v>0</v>
      </c>
      <c r="J144" s="38">
        <v>20</v>
      </c>
      <c r="K144" s="38">
        <v>172</v>
      </c>
    </row>
    <row r="145" spans="1:11" x14ac:dyDescent="0.25">
      <c r="A145" s="90">
        <v>45726.924699074072</v>
      </c>
      <c r="B145" s="3" t="s">
        <v>211</v>
      </c>
      <c r="C145" s="60" t="s">
        <v>258</v>
      </c>
      <c r="D145" s="61" t="s">
        <v>1245</v>
      </c>
      <c r="E145" s="43" t="s">
        <v>327</v>
      </c>
      <c r="F145" s="48" t="s">
        <v>25</v>
      </c>
      <c r="G145" s="44" t="s">
        <v>1246</v>
      </c>
      <c r="H145" s="38">
        <v>93</v>
      </c>
      <c r="I145" s="38">
        <v>0</v>
      </c>
      <c r="J145" s="38">
        <v>20</v>
      </c>
      <c r="K145" s="38">
        <v>123</v>
      </c>
    </row>
    <row r="146" spans="1:11" x14ac:dyDescent="0.25">
      <c r="A146" s="90">
        <v>45726.923981481479</v>
      </c>
      <c r="B146" s="3" t="s">
        <v>1170</v>
      </c>
      <c r="C146" s="60" t="s">
        <v>1172</v>
      </c>
      <c r="D146" s="61" t="s">
        <v>1243</v>
      </c>
      <c r="E146" s="43" t="s">
        <v>1174</v>
      </c>
      <c r="F146" s="48" t="s">
        <v>25</v>
      </c>
      <c r="G146" s="44" t="s">
        <v>1244</v>
      </c>
      <c r="H146" s="38">
        <v>90</v>
      </c>
      <c r="I146" s="38">
        <v>0</v>
      </c>
      <c r="J146" s="38">
        <v>0</v>
      </c>
      <c r="K146" s="38">
        <v>90</v>
      </c>
    </row>
    <row r="147" spans="1:11" x14ac:dyDescent="0.25">
      <c r="A147" s="90">
        <v>45724.818680555552</v>
      </c>
      <c r="B147" s="3" t="s">
        <v>1239</v>
      </c>
      <c r="C147" s="60" t="s">
        <v>1241</v>
      </c>
      <c r="D147" s="61" t="s">
        <v>1247</v>
      </c>
      <c r="E147" s="43" t="s">
        <v>1248</v>
      </c>
      <c r="F147" s="48" t="s">
        <v>25</v>
      </c>
      <c r="G147" s="44" t="s">
        <v>1249</v>
      </c>
      <c r="H147" s="38">
        <v>160</v>
      </c>
      <c r="I147" s="38">
        <v>0</v>
      </c>
      <c r="J147" s="38">
        <v>20</v>
      </c>
      <c r="K147" s="38">
        <v>180</v>
      </c>
    </row>
    <row r="148" spans="1:11" x14ac:dyDescent="0.25">
      <c r="A148" s="90">
        <v>45724.818680555552</v>
      </c>
      <c r="B148" s="3" t="s">
        <v>1239</v>
      </c>
      <c r="C148" s="60" t="s">
        <v>1241</v>
      </c>
      <c r="D148" s="61" t="s">
        <v>294</v>
      </c>
      <c r="E148" s="43" t="s">
        <v>1225</v>
      </c>
      <c r="F148" s="48" t="s">
        <v>25</v>
      </c>
      <c r="G148" s="44" t="s">
        <v>1242</v>
      </c>
      <c r="H148" s="38">
        <v>162</v>
      </c>
      <c r="I148" s="38">
        <v>0</v>
      </c>
      <c r="J148" s="38">
        <v>20</v>
      </c>
      <c r="K148" s="38">
        <v>182</v>
      </c>
    </row>
    <row r="149" spans="1:11" x14ac:dyDescent="0.25">
      <c r="A149" s="90">
        <v>45724.732847222222</v>
      </c>
      <c r="B149" s="3" t="s">
        <v>1234</v>
      </c>
      <c r="C149" s="60" t="s">
        <v>1236</v>
      </c>
      <c r="D149" s="61" t="s">
        <v>1237</v>
      </c>
      <c r="E149" s="43" t="s">
        <v>1049</v>
      </c>
      <c r="F149" s="48" t="s">
        <v>25</v>
      </c>
      <c r="G149" s="44" t="s">
        <v>1238</v>
      </c>
      <c r="H149" s="38">
        <v>180</v>
      </c>
      <c r="I149" s="38">
        <v>0</v>
      </c>
      <c r="J149" s="38">
        <v>20</v>
      </c>
      <c r="K149" s="38">
        <v>200</v>
      </c>
    </row>
    <row r="150" spans="1:11" x14ac:dyDescent="0.25">
      <c r="A150" s="90">
        <v>45723.684699074074</v>
      </c>
      <c r="B150" s="3" t="s">
        <v>423</v>
      </c>
      <c r="C150" s="60" t="s">
        <v>311</v>
      </c>
      <c r="D150" s="61" t="s">
        <v>1231</v>
      </c>
      <c r="E150" s="43" t="s">
        <v>1049</v>
      </c>
      <c r="F150" s="48" t="s">
        <v>14</v>
      </c>
      <c r="G150" s="44" t="s">
        <v>1232</v>
      </c>
      <c r="H150" s="38">
        <v>222</v>
      </c>
      <c r="I150" s="38">
        <v>0</v>
      </c>
      <c r="J150" s="38">
        <v>70</v>
      </c>
      <c r="K150" s="38">
        <v>292</v>
      </c>
    </row>
    <row r="151" spans="1:11" x14ac:dyDescent="0.25">
      <c r="A151" s="90">
        <v>45723.683298611111</v>
      </c>
      <c r="B151" s="3" t="s">
        <v>251</v>
      </c>
      <c r="C151" s="60" t="s">
        <v>301</v>
      </c>
      <c r="D151" s="61" t="s">
        <v>1229</v>
      </c>
      <c r="E151" s="43" t="s">
        <v>1049</v>
      </c>
      <c r="F151" s="48" t="s">
        <v>25</v>
      </c>
      <c r="G151" s="44" t="s">
        <v>1230</v>
      </c>
      <c r="H151" s="38">
        <v>205</v>
      </c>
      <c r="I151" s="38">
        <v>10</v>
      </c>
      <c r="J151" s="38">
        <v>20</v>
      </c>
      <c r="K151" s="38">
        <v>235</v>
      </c>
    </row>
    <row r="152" spans="1:11" x14ac:dyDescent="0.25">
      <c r="A152" s="90">
        <v>45723.681666666664</v>
      </c>
      <c r="B152" s="3" t="s">
        <v>70</v>
      </c>
      <c r="C152" s="60" t="s">
        <v>425</v>
      </c>
      <c r="D152" s="61" t="s">
        <v>1227</v>
      </c>
      <c r="E152" s="43" t="s">
        <v>327</v>
      </c>
      <c r="F152" s="48" t="s">
        <v>25</v>
      </c>
      <c r="G152" s="44" t="s">
        <v>1228</v>
      </c>
      <c r="H152" s="38">
        <v>134</v>
      </c>
      <c r="I152" s="38">
        <v>2</v>
      </c>
      <c r="J152" s="38">
        <v>20</v>
      </c>
      <c r="K152" s="38">
        <v>154</v>
      </c>
    </row>
    <row r="153" spans="1:11" x14ac:dyDescent="0.25">
      <c r="A153" s="90">
        <v>45723.680381944447</v>
      </c>
      <c r="B153" s="3" t="s">
        <v>1221</v>
      </c>
      <c r="C153" s="60" t="s">
        <v>1223</v>
      </c>
      <c r="D153" s="61" t="s">
        <v>1224</v>
      </c>
      <c r="E153" s="43" t="s">
        <v>1225</v>
      </c>
      <c r="F153" s="48" t="s">
        <v>25</v>
      </c>
      <c r="G153" s="44" t="s">
        <v>1226</v>
      </c>
      <c r="H153" s="38">
        <v>661</v>
      </c>
      <c r="I153" s="38">
        <v>0</v>
      </c>
      <c r="J153" s="38">
        <v>20</v>
      </c>
      <c r="K153" s="38">
        <v>681</v>
      </c>
    </row>
    <row r="154" spans="1:11" x14ac:dyDescent="0.25">
      <c r="A154" s="90">
        <v>45723.677743055552</v>
      </c>
      <c r="B154" s="3" t="s">
        <v>1215</v>
      </c>
      <c r="C154" s="60" t="s">
        <v>1217</v>
      </c>
      <c r="D154" s="61" t="s">
        <v>1218</v>
      </c>
      <c r="E154" s="43" t="s">
        <v>1219</v>
      </c>
      <c r="F154" s="48" t="s">
        <v>25</v>
      </c>
      <c r="G154" s="44" t="s">
        <v>1220</v>
      </c>
      <c r="H154" s="38">
        <v>188</v>
      </c>
      <c r="I154" s="38">
        <v>0</v>
      </c>
      <c r="J154" s="38">
        <v>20</v>
      </c>
      <c r="K154" s="38">
        <v>208</v>
      </c>
    </row>
    <row r="155" spans="1:11" x14ac:dyDescent="0.25">
      <c r="A155" s="4">
        <v>45722.845312500001</v>
      </c>
      <c r="B155" s="3" t="s">
        <v>1162</v>
      </c>
      <c r="C155" s="60" t="s">
        <v>1164</v>
      </c>
      <c r="D155" s="61" t="s">
        <v>1214</v>
      </c>
      <c r="E155" s="43" t="s">
        <v>327</v>
      </c>
      <c r="F155" s="48" t="s">
        <v>14</v>
      </c>
      <c r="G155" s="44" t="s">
        <v>1213</v>
      </c>
      <c r="H155" s="38">
        <v>154</v>
      </c>
      <c r="I155" s="38">
        <v>0</v>
      </c>
      <c r="J155" s="38">
        <v>20</v>
      </c>
      <c r="K155" s="38">
        <v>174</v>
      </c>
    </row>
    <row r="156" spans="1:11" x14ac:dyDescent="0.25">
      <c r="A156" s="4">
        <v>45722.844039351854</v>
      </c>
      <c r="B156" s="3" t="s">
        <v>1002</v>
      </c>
      <c r="C156" s="60" t="s">
        <v>1210</v>
      </c>
      <c r="D156" s="61" t="s">
        <v>1211</v>
      </c>
      <c r="E156" s="43" t="s">
        <v>327</v>
      </c>
      <c r="F156" s="48" t="s">
        <v>25</v>
      </c>
      <c r="G156" s="44" t="s">
        <v>1212</v>
      </c>
      <c r="H156" s="38">
        <v>90</v>
      </c>
      <c r="I156" s="38">
        <v>0</v>
      </c>
      <c r="J156" s="38">
        <v>20</v>
      </c>
      <c r="K156" s="38">
        <v>110</v>
      </c>
    </row>
    <row r="157" spans="1:11" x14ac:dyDescent="0.25">
      <c r="A157" s="4">
        <v>45722.819212962961</v>
      </c>
      <c r="B157" s="3" t="s">
        <v>1176</v>
      </c>
      <c r="C157" s="60" t="s">
        <v>1178</v>
      </c>
      <c r="D157" s="61" t="s">
        <v>1207</v>
      </c>
      <c r="E157" s="43" t="s">
        <v>327</v>
      </c>
      <c r="F157" s="48" t="s">
        <v>14</v>
      </c>
      <c r="G157" s="44" t="s">
        <v>1208</v>
      </c>
      <c r="H157" s="38">
        <v>249</v>
      </c>
      <c r="I157" s="38">
        <v>0</v>
      </c>
      <c r="J157" s="38">
        <v>20</v>
      </c>
      <c r="K157" s="38">
        <v>269</v>
      </c>
    </row>
    <row r="158" spans="1:11" x14ac:dyDescent="0.25">
      <c r="A158" s="4">
        <v>45722.817986111113</v>
      </c>
      <c r="B158" s="3" t="s">
        <v>15</v>
      </c>
      <c r="C158" s="60" t="s">
        <v>54</v>
      </c>
      <c r="D158" s="61" t="s">
        <v>1204</v>
      </c>
      <c r="E158" s="43" t="s">
        <v>1205</v>
      </c>
      <c r="F158" s="48" t="s">
        <v>25</v>
      </c>
      <c r="G158" s="44" t="s">
        <v>1206</v>
      </c>
      <c r="H158" s="38">
        <v>224</v>
      </c>
      <c r="I158" s="38">
        <v>0</v>
      </c>
      <c r="J158" s="38">
        <v>20</v>
      </c>
      <c r="K158" s="38">
        <v>244</v>
      </c>
    </row>
    <row r="159" spans="1:11" x14ac:dyDescent="0.25">
      <c r="A159" s="4">
        <v>45722.815775462965</v>
      </c>
      <c r="B159" s="3" t="s">
        <v>1063</v>
      </c>
      <c r="C159" s="60" t="s">
        <v>1128</v>
      </c>
      <c r="D159" s="61" t="s">
        <v>1202</v>
      </c>
      <c r="E159" s="43" t="s">
        <v>1098</v>
      </c>
      <c r="F159" s="48" t="s">
        <v>14</v>
      </c>
      <c r="G159" s="44" t="s">
        <v>1203</v>
      </c>
      <c r="H159" s="38">
        <v>334</v>
      </c>
      <c r="I159" s="38">
        <v>0</v>
      </c>
      <c r="J159" s="38">
        <v>30</v>
      </c>
      <c r="K159" s="38">
        <v>364</v>
      </c>
    </row>
    <row r="160" spans="1:11" x14ac:dyDescent="0.25">
      <c r="A160" s="4">
        <v>45722.811909722222</v>
      </c>
      <c r="B160" s="3" t="s">
        <v>211</v>
      </c>
      <c r="C160" s="60" t="s">
        <v>258</v>
      </c>
      <c r="D160" s="61" t="s">
        <v>1200</v>
      </c>
      <c r="E160" s="43" t="s">
        <v>325</v>
      </c>
      <c r="F160" s="48" t="s">
        <v>25</v>
      </c>
      <c r="G160" s="44" t="s">
        <v>1201</v>
      </c>
      <c r="H160" s="38">
        <v>364</v>
      </c>
      <c r="I160" s="38">
        <v>0</v>
      </c>
      <c r="J160" s="38">
        <v>25</v>
      </c>
      <c r="K160" s="38">
        <v>689</v>
      </c>
    </row>
    <row r="161" spans="1:11" x14ac:dyDescent="0.25">
      <c r="A161" s="4">
        <v>45722.810567129629</v>
      </c>
      <c r="B161" s="3" t="s">
        <v>1033</v>
      </c>
      <c r="C161" s="60" t="s">
        <v>1035</v>
      </c>
      <c r="D161" s="61" t="s">
        <v>1198</v>
      </c>
      <c r="E161" s="43" t="s">
        <v>327</v>
      </c>
      <c r="F161" s="48" t="s">
        <v>14</v>
      </c>
      <c r="G161" s="44" t="s">
        <v>1199</v>
      </c>
      <c r="H161" s="38">
        <v>61</v>
      </c>
      <c r="I161" s="38">
        <v>0</v>
      </c>
      <c r="J161" s="38">
        <v>20</v>
      </c>
      <c r="K161" s="38">
        <v>81</v>
      </c>
    </row>
    <row r="162" spans="1:11" x14ac:dyDescent="0.25">
      <c r="A162" s="4">
        <v>45722.809872685182</v>
      </c>
      <c r="B162" s="3" t="s">
        <v>205</v>
      </c>
      <c r="C162" s="60" t="s">
        <v>206</v>
      </c>
      <c r="D162" s="61" t="s">
        <v>1196</v>
      </c>
      <c r="E162" s="43" t="s">
        <v>327</v>
      </c>
      <c r="F162" s="48" t="s">
        <v>25</v>
      </c>
      <c r="G162" s="44" t="s">
        <v>1197</v>
      </c>
      <c r="H162" s="38">
        <v>22</v>
      </c>
      <c r="I162" s="38">
        <v>0</v>
      </c>
      <c r="J162" s="38">
        <v>20</v>
      </c>
      <c r="K162" s="38">
        <v>42</v>
      </c>
    </row>
    <row r="163" spans="1:11" x14ac:dyDescent="0.25">
      <c r="A163" s="4">
        <v>45722.808391203704</v>
      </c>
      <c r="B163" s="3" t="s">
        <v>1191</v>
      </c>
      <c r="C163" s="60" t="s">
        <v>1193</v>
      </c>
      <c r="D163" s="61" t="s">
        <v>1194</v>
      </c>
      <c r="E163" s="43" t="s">
        <v>407</v>
      </c>
      <c r="F163" s="48" t="s">
        <v>14</v>
      </c>
      <c r="G163" s="44" t="s">
        <v>1195</v>
      </c>
      <c r="H163" s="38">
        <v>142</v>
      </c>
      <c r="I163" s="38">
        <v>0</v>
      </c>
      <c r="J163" s="38">
        <v>20</v>
      </c>
      <c r="K163" s="38">
        <v>162</v>
      </c>
    </row>
    <row r="164" spans="1:11" x14ac:dyDescent="0.25">
      <c r="A164" s="4">
        <v>45722.552812499998</v>
      </c>
      <c r="B164" s="3" t="s">
        <v>1186</v>
      </c>
      <c r="C164" s="60" t="s">
        <v>1188</v>
      </c>
      <c r="D164" s="61" t="s">
        <v>1189</v>
      </c>
      <c r="E164" s="43" t="s">
        <v>327</v>
      </c>
      <c r="F164" s="48" t="s">
        <v>25</v>
      </c>
      <c r="G164" s="44" t="s">
        <v>1190</v>
      </c>
      <c r="H164" s="38">
        <v>70</v>
      </c>
      <c r="I164" s="38" t="s">
        <v>53</v>
      </c>
      <c r="J164" s="38">
        <v>20</v>
      </c>
      <c r="K164" s="38">
        <v>90</v>
      </c>
    </row>
    <row r="165" spans="1:11" x14ac:dyDescent="0.25">
      <c r="A165" s="4">
        <v>45780.910104166665</v>
      </c>
      <c r="B165" s="3" t="s">
        <v>1181</v>
      </c>
      <c r="C165" s="60" t="s">
        <v>1183</v>
      </c>
      <c r="D165" s="61" t="s">
        <v>1184</v>
      </c>
      <c r="E165" s="43" t="s">
        <v>1174</v>
      </c>
      <c r="F165" s="48" t="s">
        <v>14</v>
      </c>
      <c r="G165" s="44" t="s">
        <v>1185</v>
      </c>
      <c r="H165" s="38">
        <v>75</v>
      </c>
      <c r="I165" s="38">
        <v>0</v>
      </c>
      <c r="J165" s="38">
        <v>30</v>
      </c>
      <c r="K165" s="38">
        <v>105</v>
      </c>
    </row>
    <row r="166" spans="1:11" x14ac:dyDescent="0.25">
      <c r="A166" s="4">
        <v>45780.909097222226</v>
      </c>
      <c r="B166" s="3" t="s">
        <v>1176</v>
      </c>
      <c r="C166" s="60" t="s">
        <v>1178</v>
      </c>
      <c r="D166" s="61" t="s">
        <v>1179</v>
      </c>
      <c r="E166" s="43" t="s">
        <v>207</v>
      </c>
      <c r="F166" s="48" t="s">
        <v>25</v>
      </c>
      <c r="G166" s="44" t="s">
        <v>1180</v>
      </c>
      <c r="H166" s="38">
        <v>170</v>
      </c>
      <c r="I166" s="38">
        <v>0</v>
      </c>
      <c r="J166" s="38">
        <v>20</v>
      </c>
      <c r="K166" s="38">
        <v>190</v>
      </c>
    </row>
    <row r="167" spans="1:11" x14ac:dyDescent="0.25">
      <c r="A167" s="4">
        <v>45780.863206018519</v>
      </c>
      <c r="B167" s="3" t="s">
        <v>1170</v>
      </c>
      <c r="C167" s="60" t="s">
        <v>1172</v>
      </c>
      <c r="D167" s="61" t="s">
        <v>1173</v>
      </c>
      <c r="E167" s="43" t="s">
        <v>1174</v>
      </c>
      <c r="F167" s="48" t="s">
        <v>25</v>
      </c>
      <c r="G167" s="44" t="s">
        <v>1175</v>
      </c>
      <c r="H167" s="38">
        <v>0</v>
      </c>
      <c r="I167" s="38">
        <v>0</v>
      </c>
      <c r="J167" s="38">
        <v>60</v>
      </c>
      <c r="K167" s="38">
        <v>60</v>
      </c>
    </row>
    <row r="168" spans="1:11" x14ac:dyDescent="0.25">
      <c r="A168" s="4">
        <v>45780.714444444442</v>
      </c>
      <c r="B168" s="3" t="s">
        <v>1162</v>
      </c>
      <c r="C168" s="60" t="s">
        <v>1164</v>
      </c>
      <c r="D168" s="61" t="s">
        <v>1165</v>
      </c>
      <c r="E168" s="43" t="s">
        <v>1168</v>
      </c>
      <c r="F168" s="48" t="s">
        <v>25</v>
      </c>
      <c r="G168" s="44" t="s">
        <v>1169</v>
      </c>
      <c r="H168" s="38">
        <v>34</v>
      </c>
      <c r="I168" s="38">
        <v>0</v>
      </c>
      <c r="J168" s="38">
        <v>20</v>
      </c>
      <c r="K168" s="38">
        <v>54</v>
      </c>
    </row>
    <row r="169" spans="1:11" x14ac:dyDescent="0.25">
      <c r="A169" s="4">
        <v>45780.712673611109</v>
      </c>
      <c r="B169" s="3" t="s">
        <v>211</v>
      </c>
      <c r="C169" s="60" t="s">
        <v>258</v>
      </c>
      <c r="D169" s="61" t="s">
        <v>1160</v>
      </c>
      <c r="E169" s="43" t="s">
        <v>327</v>
      </c>
      <c r="F169" s="48" t="s">
        <v>25</v>
      </c>
      <c r="G169" s="44" t="s">
        <v>1161</v>
      </c>
      <c r="H169" s="38">
        <v>124</v>
      </c>
      <c r="I169" s="38">
        <v>0</v>
      </c>
      <c r="J169" s="38">
        <v>20</v>
      </c>
      <c r="K169" s="38">
        <v>144</v>
      </c>
    </row>
    <row r="170" spans="1:11" x14ac:dyDescent="0.25">
      <c r="A170" s="4">
        <v>45780.708645833336</v>
      </c>
      <c r="B170" s="3" t="s">
        <v>70</v>
      </c>
      <c r="C170" s="60" t="s">
        <v>425</v>
      </c>
      <c r="D170" s="61" t="s">
        <v>1158</v>
      </c>
      <c r="E170" s="43" t="s">
        <v>327</v>
      </c>
      <c r="F170" s="48" t="s">
        <v>25</v>
      </c>
      <c r="G170" s="44" t="s">
        <v>1159</v>
      </c>
      <c r="H170" s="38">
        <v>175</v>
      </c>
      <c r="I170" s="38">
        <v>0</v>
      </c>
      <c r="J170" s="38">
        <v>20</v>
      </c>
      <c r="K170" s="38">
        <v>195</v>
      </c>
    </row>
    <row r="171" spans="1:11" x14ac:dyDescent="0.25">
      <c r="A171" s="4">
        <v>45720.925324074073</v>
      </c>
      <c r="B171" s="3" t="s">
        <v>1153</v>
      </c>
      <c r="C171" s="60" t="s">
        <v>1155</v>
      </c>
      <c r="D171" s="61" t="s">
        <v>1156</v>
      </c>
      <c r="E171" s="43" t="s">
        <v>327</v>
      </c>
      <c r="F171" s="48" t="s">
        <v>25</v>
      </c>
      <c r="G171" s="44" t="s">
        <v>1157</v>
      </c>
      <c r="H171" s="38">
        <v>31</v>
      </c>
      <c r="I171" s="38">
        <v>0</v>
      </c>
      <c r="J171" s="38">
        <v>20</v>
      </c>
      <c r="K171" s="38">
        <v>51</v>
      </c>
    </row>
    <row r="172" spans="1:11" x14ac:dyDescent="0.25">
      <c r="A172" s="4">
        <v>45720.893368055556</v>
      </c>
      <c r="B172" s="3" t="s">
        <v>413</v>
      </c>
      <c r="C172" s="60" t="s">
        <v>272</v>
      </c>
      <c r="D172" s="61" t="s">
        <v>1151</v>
      </c>
      <c r="E172" s="43" t="s">
        <v>327</v>
      </c>
      <c r="F172" s="48" t="s">
        <v>25</v>
      </c>
      <c r="G172" s="44" t="s">
        <v>1152</v>
      </c>
      <c r="H172" s="38">
        <v>129</v>
      </c>
      <c r="I172" s="38">
        <v>0</v>
      </c>
      <c r="J172" s="38">
        <v>20</v>
      </c>
      <c r="K172" s="38">
        <v>149</v>
      </c>
    </row>
    <row r="173" spans="1:11" x14ac:dyDescent="0.25">
      <c r="A173" s="4">
        <v>45720.889085648145</v>
      </c>
      <c r="B173" s="3" t="s">
        <v>1148</v>
      </c>
      <c r="C173" s="60" t="s">
        <v>342</v>
      </c>
      <c r="D173" s="61" t="s">
        <v>1149</v>
      </c>
      <c r="E173" s="43" t="s">
        <v>327</v>
      </c>
      <c r="F173" s="48" t="s">
        <v>25</v>
      </c>
      <c r="G173" s="44" t="s">
        <v>1150</v>
      </c>
      <c r="H173" s="38">
        <v>164</v>
      </c>
      <c r="I173" s="38">
        <v>0</v>
      </c>
      <c r="J173" s="38">
        <v>20</v>
      </c>
      <c r="K173" s="38">
        <v>184</v>
      </c>
    </row>
    <row r="174" spans="1:11" x14ac:dyDescent="0.25">
      <c r="A174" s="4">
        <v>45720.877962962964</v>
      </c>
      <c r="B174" s="3" t="s">
        <v>1143</v>
      </c>
      <c r="C174" s="60" t="s">
        <v>1145</v>
      </c>
      <c r="D174" s="61" t="s">
        <v>1146</v>
      </c>
      <c r="E174" s="43" t="s">
        <v>392</v>
      </c>
      <c r="F174" s="48" t="s">
        <v>25</v>
      </c>
      <c r="G174" s="44" t="s">
        <v>1147</v>
      </c>
      <c r="H174" s="38">
        <v>144</v>
      </c>
      <c r="I174" s="38">
        <v>0</v>
      </c>
      <c r="J174" s="38">
        <v>20</v>
      </c>
      <c r="K174" s="38">
        <v>164</v>
      </c>
    </row>
    <row r="175" spans="1:11" x14ac:dyDescent="0.25">
      <c r="A175" s="4">
        <v>45720.872337962966</v>
      </c>
      <c r="B175" s="3" t="s">
        <v>423</v>
      </c>
      <c r="C175" s="60" t="s">
        <v>311</v>
      </c>
      <c r="D175" s="61" t="s">
        <v>1141</v>
      </c>
      <c r="E175" s="43" t="s">
        <v>323</v>
      </c>
      <c r="F175" s="48" t="s">
        <v>25</v>
      </c>
      <c r="G175" s="44" t="s">
        <v>1142</v>
      </c>
      <c r="H175" s="38">
        <v>70</v>
      </c>
      <c r="I175" s="38">
        <v>0</v>
      </c>
      <c r="J175" s="38">
        <v>30</v>
      </c>
      <c r="K175" s="38">
        <v>100</v>
      </c>
    </row>
    <row r="176" spans="1:11" x14ac:dyDescent="0.25">
      <c r="A176" s="4">
        <v>45720.859456018516</v>
      </c>
      <c r="B176" s="3" t="s">
        <v>418</v>
      </c>
      <c r="C176" s="60" t="s">
        <v>200</v>
      </c>
      <c r="D176" s="61" t="s">
        <v>1139</v>
      </c>
      <c r="E176" s="43" t="s">
        <v>407</v>
      </c>
      <c r="F176" s="48" t="s">
        <v>25</v>
      </c>
      <c r="G176" s="44" t="s">
        <v>1140</v>
      </c>
      <c r="H176" s="38">
        <v>116</v>
      </c>
      <c r="I176" s="38">
        <v>0</v>
      </c>
      <c r="J176" s="38">
        <v>20</v>
      </c>
      <c r="K176" s="38">
        <v>126</v>
      </c>
    </row>
    <row r="177" spans="1:11" x14ac:dyDescent="0.25">
      <c r="A177" s="4">
        <v>45720.80060185185</v>
      </c>
      <c r="B177" s="3" t="s">
        <v>70</v>
      </c>
      <c r="C177" s="60" t="s">
        <v>425</v>
      </c>
      <c r="D177" s="61" t="s">
        <v>1137</v>
      </c>
      <c r="E177" s="43" t="s">
        <v>327</v>
      </c>
      <c r="F177" s="48" t="s">
        <v>25</v>
      </c>
      <c r="G177" s="44" t="s">
        <v>1138</v>
      </c>
      <c r="H177" s="38">
        <v>104</v>
      </c>
      <c r="I177" s="38">
        <v>0</v>
      </c>
      <c r="J177" s="38">
        <v>20</v>
      </c>
      <c r="K177" s="38">
        <v>124</v>
      </c>
    </row>
    <row r="178" spans="1:11" x14ac:dyDescent="0.25">
      <c r="A178" s="4">
        <v>45720.797581018516</v>
      </c>
      <c r="B178" s="3" t="s">
        <v>29</v>
      </c>
      <c r="C178" s="60" t="s">
        <v>30</v>
      </c>
      <c r="D178" s="61" t="s">
        <v>1135</v>
      </c>
      <c r="E178" s="43" t="s">
        <v>207</v>
      </c>
      <c r="F178" s="48" t="s">
        <v>25</v>
      </c>
      <c r="G178" s="44" t="s">
        <v>1136</v>
      </c>
      <c r="H178" s="38">
        <v>37</v>
      </c>
      <c r="I178" s="38">
        <v>0</v>
      </c>
      <c r="J178" s="38">
        <v>20</v>
      </c>
      <c r="K178" s="38">
        <v>57</v>
      </c>
    </row>
    <row r="179" spans="1:11" x14ac:dyDescent="0.25">
      <c r="A179" s="4">
        <v>45719.940324074072</v>
      </c>
      <c r="B179" s="3" t="s">
        <v>1063</v>
      </c>
      <c r="C179" s="60" t="s">
        <v>1128</v>
      </c>
      <c r="D179" s="61" t="s">
        <v>1129</v>
      </c>
      <c r="E179" s="43" t="s">
        <v>327</v>
      </c>
      <c r="F179" s="48" t="s">
        <v>25</v>
      </c>
      <c r="G179" s="44" t="s">
        <v>1130</v>
      </c>
      <c r="H179" s="38">
        <v>175</v>
      </c>
      <c r="I179" s="38">
        <v>0</v>
      </c>
      <c r="J179" s="38">
        <v>25</v>
      </c>
      <c r="K179" s="38">
        <v>200</v>
      </c>
    </row>
    <row r="180" spans="1:11" x14ac:dyDescent="0.25">
      <c r="A180" s="4">
        <v>45719.797048611108</v>
      </c>
      <c r="B180" s="3" t="s">
        <v>252</v>
      </c>
      <c r="C180" s="60" t="s">
        <v>289</v>
      </c>
      <c r="D180" s="61" t="s">
        <v>1124</v>
      </c>
      <c r="E180" s="43" t="s">
        <v>323</v>
      </c>
      <c r="F180" s="48" t="s">
        <v>14</v>
      </c>
      <c r="G180" s="44" t="s">
        <v>1125</v>
      </c>
      <c r="H180" s="38">
        <v>85</v>
      </c>
      <c r="I180" s="38">
        <v>0</v>
      </c>
      <c r="J180" s="38">
        <v>20</v>
      </c>
      <c r="K180" s="38">
        <v>105</v>
      </c>
    </row>
    <row r="181" spans="1:11" x14ac:dyDescent="0.25">
      <c r="A181" s="4">
        <v>45719.788935185185</v>
      </c>
      <c r="B181" s="3" t="s">
        <v>413</v>
      </c>
      <c r="C181" s="60" t="s">
        <v>272</v>
      </c>
      <c r="D181" s="61" t="s">
        <v>1122</v>
      </c>
      <c r="E181" s="43" t="s">
        <v>327</v>
      </c>
      <c r="F181" s="48" t="s">
        <v>25</v>
      </c>
      <c r="G181" s="44" t="s">
        <v>1123</v>
      </c>
      <c r="H181" s="38">
        <v>350</v>
      </c>
      <c r="I181" s="38">
        <v>10</v>
      </c>
      <c r="J181" s="38">
        <v>20</v>
      </c>
      <c r="K181" s="38">
        <v>380</v>
      </c>
    </row>
    <row r="182" spans="1:11" x14ac:dyDescent="0.25">
      <c r="A182" s="4">
        <v>45719.610150462962</v>
      </c>
      <c r="B182" s="3" t="s">
        <v>1117</v>
      </c>
      <c r="C182" s="60" t="s">
        <v>1119</v>
      </c>
      <c r="D182" s="61" t="s">
        <v>1120</v>
      </c>
      <c r="E182" s="43" t="s">
        <v>328</v>
      </c>
      <c r="F182" s="48" t="s">
        <v>25</v>
      </c>
      <c r="G182" s="44" t="s">
        <v>1121</v>
      </c>
      <c r="H182" s="38">
        <v>200</v>
      </c>
      <c r="I182" s="38">
        <v>0</v>
      </c>
      <c r="J182" s="38">
        <v>20</v>
      </c>
      <c r="K182" s="38">
        <v>220</v>
      </c>
    </row>
    <row r="183" spans="1:11" x14ac:dyDescent="0.25">
      <c r="A183" s="4">
        <v>45719.608217592591</v>
      </c>
      <c r="B183" s="3" t="s">
        <v>70</v>
      </c>
      <c r="C183" s="60" t="s">
        <v>425</v>
      </c>
      <c r="D183" s="61" t="s">
        <v>1115</v>
      </c>
      <c r="E183" s="43" t="s">
        <v>327</v>
      </c>
      <c r="F183" s="48" t="s">
        <v>25</v>
      </c>
      <c r="G183" s="44" t="s">
        <v>1116</v>
      </c>
      <c r="H183" s="38">
        <v>125</v>
      </c>
      <c r="I183" s="38">
        <v>0</v>
      </c>
      <c r="J183" s="38">
        <v>20</v>
      </c>
      <c r="K183" s="38">
        <v>165</v>
      </c>
    </row>
    <row r="184" spans="1:11" x14ac:dyDescent="0.25">
      <c r="A184" s="87" t="s">
        <v>1110</v>
      </c>
      <c r="B184" s="60" t="s">
        <v>1109</v>
      </c>
      <c r="C184" s="60" t="s">
        <v>1108</v>
      </c>
      <c r="D184" s="88" t="s">
        <v>1107</v>
      </c>
      <c r="E184" s="79" t="s">
        <v>207</v>
      </c>
      <c r="F184" s="80" t="s">
        <v>25</v>
      </c>
      <c r="G184" s="44" t="s">
        <v>1113</v>
      </c>
      <c r="H184" s="49">
        <v>600</v>
      </c>
      <c r="I184" s="49">
        <v>0</v>
      </c>
      <c r="J184" s="86">
        <v>45</v>
      </c>
      <c r="K184" s="49">
        <v>645</v>
      </c>
    </row>
    <row r="185" spans="1:11" x14ac:dyDescent="0.25">
      <c r="A185" s="4" t="s">
        <v>1106</v>
      </c>
      <c r="B185" s="3" t="s">
        <v>1105</v>
      </c>
      <c r="C185" s="60" t="s">
        <v>1104</v>
      </c>
      <c r="D185" s="61" t="s">
        <v>1103</v>
      </c>
      <c r="E185" s="43" t="s">
        <v>1112</v>
      </c>
      <c r="F185" s="48" t="s">
        <v>25</v>
      </c>
      <c r="G185" s="44" t="s">
        <v>1111</v>
      </c>
      <c r="H185" s="38">
        <v>128</v>
      </c>
      <c r="I185" s="38">
        <v>0</v>
      </c>
      <c r="J185" s="38">
        <v>20</v>
      </c>
      <c r="K185" s="38">
        <v>1487</v>
      </c>
    </row>
    <row r="186" spans="1:11" x14ac:dyDescent="0.25">
      <c r="A186" s="4" t="s">
        <v>1052</v>
      </c>
      <c r="B186" s="3" t="s">
        <v>15</v>
      </c>
      <c r="C186" s="60" t="s">
        <v>54</v>
      </c>
      <c r="D186" s="61" t="s">
        <v>1051</v>
      </c>
      <c r="E186" s="43" t="s">
        <v>1053</v>
      </c>
      <c r="F186" s="48" t="s">
        <v>25</v>
      </c>
      <c r="G186" s="44" t="s">
        <v>1054</v>
      </c>
      <c r="H186" s="38">
        <v>470</v>
      </c>
      <c r="I186" s="49">
        <v>0</v>
      </c>
      <c r="J186" s="38">
        <v>120</v>
      </c>
      <c r="K186" s="38">
        <v>578</v>
      </c>
    </row>
    <row r="187" spans="1:11" x14ac:dyDescent="0.25">
      <c r="A187" s="4" t="s">
        <v>1048</v>
      </c>
      <c r="B187" s="3" t="s">
        <v>423</v>
      </c>
      <c r="C187" s="60" t="s">
        <v>311</v>
      </c>
      <c r="D187" s="61" t="s">
        <v>1047</v>
      </c>
      <c r="E187" s="43" t="s">
        <v>1049</v>
      </c>
      <c r="F187" s="48" t="s">
        <v>25</v>
      </c>
      <c r="G187" s="44" t="s">
        <v>1050</v>
      </c>
      <c r="H187" s="38">
        <v>586</v>
      </c>
      <c r="I187" s="49">
        <v>0</v>
      </c>
      <c r="J187" s="38">
        <v>220</v>
      </c>
      <c r="K187" s="38">
        <v>806</v>
      </c>
    </row>
    <row r="188" spans="1:11" x14ac:dyDescent="0.25">
      <c r="A188" s="4" t="s">
        <v>1045</v>
      </c>
      <c r="B188" s="3" t="s">
        <v>418</v>
      </c>
      <c r="C188" s="60" t="s">
        <v>200</v>
      </c>
      <c r="D188" s="61" t="s">
        <v>1044</v>
      </c>
      <c r="E188" s="43" t="s">
        <v>327</v>
      </c>
      <c r="F188" s="48" t="s">
        <v>25</v>
      </c>
      <c r="G188" s="44" t="s">
        <v>1046</v>
      </c>
      <c r="H188" s="38">
        <v>119</v>
      </c>
      <c r="I188" s="49">
        <v>0</v>
      </c>
      <c r="J188" s="38">
        <v>20</v>
      </c>
      <c r="K188" s="38">
        <v>139</v>
      </c>
    </row>
    <row r="189" spans="1:11" x14ac:dyDescent="0.25">
      <c r="A189" s="4" t="s">
        <v>1039</v>
      </c>
      <c r="B189" s="3" t="s">
        <v>70</v>
      </c>
      <c r="C189" s="60" t="s">
        <v>425</v>
      </c>
      <c r="D189" s="61" t="s">
        <v>1038</v>
      </c>
      <c r="E189" s="43" t="s">
        <v>327</v>
      </c>
      <c r="F189" s="48" t="s">
        <v>25</v>
      </c>
      <c r="G189" s="44" t="s">
        <v>1055</v>
      </c>
      <c r="H189" s="38">
        <v>140</v>
      </c>
      <c r="I189" s="49">
        <v>0</v>
      </c>
      <c r="J189" s="38">
        <v>20</v>
      </c>
      <c r="K189" s="38">
        <v>160</v>
      </c>
    </row>
    <row r="190" spans="1:11" x14ac:dyDescent="0.25">
      <c r="A190" s="4" t="s">
        <v>1037</v>
      </c>
      <c r="B190" s="3" t="s">
        <v>1033</v>
      </c>
      <c r="C190" s="60" t="s">
        <v>1035</v>
      </c>
      <c r="D190" s="61" t="s">
        <v>1036</v>
      </c>
      <c r="E190" s="43" t="s">
        <v>327</v>
      </c>
      <c r="F190" s="48" t="s">
        <v>14</v>
      </c>
      <c r="G190" s="44" t="s">
        <v>1056</v>
      </c>
      <c r="H190" s="49">
        <v>61</v>
      </c>
      <c r="I190" s="49">
        <v>0</v>
      </c>
      <c r="J190" s="49">
        <v>20</v>
      </c>
      <c r="K190" s="49">
        <v>89</v>
      </c>
    </row>
    <row r="191" spans="1:11" x14ac:dyDescent="0.25">
      <c r="A191" s="4" t="s">
        <v>1030</v>
      </c>
      <c r="B191" s="3" t="s">
        <v>1162</v>
      </c>
      <c r="C191" s="60" t="s">
        <v>1012</v>
      </c>
      <c r="D191" s="61" t="s">
        <v>1031</v>
      </c>
      <c r="E191" s="79" t="s">
        <v>327</v>
      </c>
      <c r="F191" s="80" t="s">
        <v>25</v>
      </c>
      <c r="G191" s="44" t="s">
        <v>1032</v>
      </c>
      <c r="H191" s="49">
        <v>140</v>
      </c>
      <c r="I191" s="49">
        <v>0</v>
      </c>
      <c r="J191" s="86">
        <v>20</v>
      </c>
      <c r="K191" s="49">
        <v>160</v>
      </c>
    </row>
    <row r="192" spans="1:11" x14ac:dyDescent="0.25">
      <c r="A192" s="4" t="s">
        <v>1023</v>
      </c>
      <c r="B192" s="3" t="s">
        <v>252</v>
      </c>
      <c r="C192" s="60" t="s">
        <v>289</v>
      </c>
      <c r="D192" s="61" t="s">
        <v>1024</v>
      </c>
      <c r="E192" s="43" t="s">
        <v>325</v>
      </c>
      <c r="F192" s="48" t="s">
        <v>25</v>
      </c>
      <c r="G192" s="44" t="s">
        <v>1027</v>
      </c>
      <c r="H192" s="38">
        <v>140</v>
      </c>
      <c r="I192" s="38">
        <v>5</v>
      </c>
      <c r="J192" s="38">
        <v>20</v>
      </c>
      <c r="K192" s="38">
        <v>165</v>
      </c>
    </row>
    <row r="193" spans="1:11" x14ac:dyDescent="0.25">
      <c r="A193" s="4" t="s">
        <v>1025</v>
      </c>
      <c r="B193" s="3" t="s">
        <v>211</v>
      </c>
      <c r="C193" s="60" t="s">
        <v>258</v>
      </c>
      <c r="D193" s="61" t="s">
        <v>1026</v>
      </c>
      <c r="E193" s="43" t="s">
        <v>1028</v>
      </c>
      <c r="F193" s="48" t="s">
        <v>25</v>
      </c>
      <c r="G193" s="44" t="s">
        <v>1029</v>
      </c>
      <c r="H193" s="38">
        <v>54</v>
      </c>
      <c r="I193" s="38">
        <v>6</v>
      </c>
      <c r="J193" s="38">
        <v>20</v>
      </c>
      <c r="K193" s="38">
        <v>80</v>
      </c>
    </row>
    <row r="194" spans="1:11" x14ac:dyDescent="0.25">
      <c r="A194" s="4" t="s">
        <v>985</v>
      </c>
      <c r="B194" s="3" t="s">
        <v>986</v>
      </c>
      <c r="C194" s="60" t="s">
        <v>987</v>
      </c>
      <c r="D194" s="3" t="s">
        <v>988</v>
      </c>
      <c r="E194" s="43" t="s">
        <v>973</v>
      </c>
      <c r="F194" s="48" t="s">
        <v>25</v>
      </c>
      <c r="G194" s="44" t="s">
        <v>974</v>
      </c>
      <c r="H194" s="38">
        <v>88</v>
      </c>
      <c r="I194" s="38">
        <v>0</v>
      </c>
      <c r="J194" s="38">
        <v>32</v>
      </c>
      <c r="K194" s="38">
        <v>120</v>
      </c>
    </row>
    <row r="195" spans="1:11" x14ac:dyDescent="0.25">
      <c r="A195" s="4" t="s">
        <v>989</v>
      </c>
      <c r="B195" s="3" t="s">
        <v>990</v>
      </c>
      <c r="C195" s="60" t="s">
        <v>991</v>
      </c>
      <c r="D195" s="3" t="s">
        <v>992</v>
      </c>
      <c r="E195" s="43" t="s">
        <v>327</v>
      </c>
      <c r="F195" s="48" t="s">
        <v>25</v>
      </c>
      <c r="G195" s="44" t="s">
        <v>975</v>
      </c>
      <c r="H195" s="38">
        <v>32</v>
      </c>
      <c r="I195" s="38">
        <v>0</v>
      </c>
      <c r="J195" s="38">
        <v>20</v>
      </c>
      <c r="K195" s="38">
        <v>52</v>
      </c>
    </row>
    <row r="196" spans="1:11" x14ac:dyDescent="0.25">
      <c r="A196" s="4" t="s">
        <v>993</v>
      </c>
      <c r="B196" s="3" t="s">
        <v>128</v>
      </c>
      <c r="C196" s="60" t="s">
        <v>129</v>
      </c>
      <c r="D196" s="3" t="s">
        <v>994</v>
      </c>
      <c r="E196" s="43" t="s">
        <v>392</v>
      </c>
      <c r="F196" s="48" t="s">
        <v>25</v>
      </c>
      <c r="G196" s="44" t="s">
        <v>976</v>
      </c>
      <c r="H196" s="38">
        <v>205</v>
      </c>
      <c r="I196" s="38">
        <v>0</v>
      </c>
      <c r="J196" s="38">
        <v>25</v>
      </c>
      <c r="K196" s="38">
        <v>235</v>
      </c>
    </row>
    <row r="197" spans="1:11" x14ac:dyDescent="0.25">
      <c r="A197" s="4" t="s">
        <v>995</v>
      </c>
      <c r="B197" s="3" t="s">
        <v>996</v>
      </c>
      <c r="C197" s="60" t="s">
        <v>997</v>
      </c>
      <c r="D197" s="3" t="s">
        <v>998</v>
      </c>
      <c r="E197" s="43" t="s">
        <v>977</v>
      </c>
      <c r="F197" s="48" t="s">
        <v>25</v>
      </c>
      <c r="G197" s="44" t="s">
        <v>978</v>
      </c>
      <c r="H197" s="38">
        <v>61</v>
      </c>
      <c r="I197" s="38">
        <v>0</v>
      </c>
      <c r="J197" s="38">
        <v>10</v>
      </c>
      <c r="K197" s="38">
        <v>71</v>
      </c>
    </row>
    <row r="198" spans="1:11" x14ac:dyDescent="0.25">
      <c r="A198" s="4" t="s">
        <v>999</v>
      </c>
      <c r="B198" s="3" t="s">
        <v>132</v>
      </c>
      <c r="C198" s="60" t="s">
        <v>133</v>
      </c>
      <c r="D198" s="3" t="s">
        <v>1000</v>
      </c>
      <c r="E198" s="43" t="s">
        <v>327</v>
      </c>
      <c r="F198" s="48" t="s">
        <v>25</v>
      </c>
      <c r="G198" s="44" t="s">
        <v>979</v>
      </c>
      <c r="H198" s="38">
        <v>130</v>
      </c>
      <c r="I198" s="38">
        <v>0</v>
      </c>
      <c r="J198" s="38">
        <v>20</v>
      </c>
      <c r="K198" s="38">
        <v>150</v>
      </c>
    </row>
    <row r="199" spans="1:11" x14ac:dyDescent="0.25">
      <c r="A199" s="4" t="s">
        <v>1001</v>
      </c>
      <c r="B199" s="3" t="s">
        <v>1002</v>
      </c>
      <c r="C199" s="60" t="s">
        <v>1003</v>
      </c>
      <c r="D199" s="3" t="s">
        <v>1004</v>
      </c>
      <c r="E199" s="43" t="s">
        <v>327</v>
      </c>
      <c r="F199" s="48" t="s">
        <v>25</v>
      </c>
      <c r="G199" s="44" t="s">
        <v>1277</v>
      </c>
      <c r="H199" s="38">
        <v>70</v>
      </c>
      <c r="I199" s="38">
        <v>0</v>
      </c>
      <c r="J199" s="38">
        <v>20</v>
      </c>
      <c r="K199" s="38">
        <v>90</v>
      </c>
    </row>
    <row r="200" spans="1:11" x14ac:dyDescent="0.25">
      <c r="A200" s="4" t="s">
        <v>1005</v>
      </c>
      <c r="B200" s="3" t="s">
        <v>70</v>
      </c>
      <c r="C200" s="60" t="s">
        <v>425</v>
      </c>
      <c r="D200" s="3" t="s">
        <v>1006</v>
      </c>
      <c r="E200" s="43" t="s">
        <v>327</v>
      </c>
      <c r="F200" s="48" t="s">
        <v>25</v>
      </c>
      <c r="G200" s="44" t="s">
        <v>980</v>
      </c>
      <c r="H200" s="38">
        <v>130</v>
      </c>
      <c r="I200" s="38">
        <v>0</v>
      </c>
      <c r="J200" s="38">
        <v>20</v>
      </c>
      <c r="K200" s="38">
        <v>160</v>
      </c>
    </row>
    <row r="201" spans="1:11" x14ac:dyDescent="0.25">
      <c r="A201" s="4" t="s">
        <v>1007</v>
      </c>
      <c r="B201" s="3" t="s">
        <v>15</v>
      </c>
      <c r="C201" s="60" t="s">
        <v>54</v>
      </c>
      <c r="D201" s="3" t="s">
        <v>1008</v>
      </c>
      <c r="E201" s="43" t="s">
        <v>327</v>
      </c>
      <c r="F201" s="48" t="s">
        <v>14</v>
      </c>
      <c r="G201" s="44" t="s">
        <v>981</v>
      </c>
      <c r="H201" s="38">
        <v>117</v>
      </c>
      <c r="I201" s="38">
        <v>0</v>
      </c>
      <c r="J201" s="38">
        <v>20</v>
      </c>
      <c r="K201" s="38">
        <v>137</v>
      </c>
    </row>
    <row r="202" spans="1:11" x14ac:dyDescent="0.25">
      <c r="A202" s="4" t="s">
        <v>1009</v>
      </c>
      <c r="B202" s="3" t="s">
        <v>15</v>
      </c>
      <c r="C202" s="60" t="s">
        <v>54</v>
      </c>
      <c r="D202" s="3" t="s">
        <v>1010</v>
      </c>
      <c r="E202" s="43" t="s">
        <v>327</v>
      </c>
      <c r="F202" s="48" t="s">
        <v>25</v>
      </c>
      <c r="G202" s="44" t="s">
        <v>982</v>
      </c>
      <c r="H202" s="38">
        <v>230</v>
      </c>
      <c r="I202" s="38">
        <v>0</v>
      </c>
      <c r="J202" s="38">
        <v>20</v>
      </c>
      <c r="K202" s="38">
        <v>250</v>
      </c>
    </row>
    <row r="203" spans="1:11" x14ac:dyDescent="0.25">
      <c r="A203" s="4" t="s">
        <v>1011</v>
      </c>
      <c r="B203" s="3" t="s">
        <v>1162</v>
      </c>
      <c r="C203" s="60" t="s">
        <v>1012</v>
      </c>
      <c r="D203" s="3" t="s">
        <v>1013</v>
      </c>
      <c r="E203" s="43" t="s">
        <v>327</v>
      </c>
      <c r="F203" s="48" t="s">
        <v>25</v>
      </c>
      <c r="G203" s="44" t="s">
        <v>983</v>
      </c>
      <c r="H203" s="38">
        <v>145</v>
      </c>
      <c r="I203" s="38">
        <v>0</v>
      </c>
      <c r="J203" s="38">
        <v>20</v>
      </c>
      <c r="K203" s="38">
        <v>165</v>
      </c>
    </row>
    <row r="204" spans="1:11" x14ac:dyDescent="0.25">
      <c r="A204" s="4" t="s">
        <v>1014</v>
      </c>
      <c r="B204" s="3" t="s">
        <v>15</v>
      </c>
      <c r="C204" s="60" t="s">
        <v>54</v>
      </c>
      <c r="D204" s="3" t="s">
        <v>1015</v>
      </c>
      <c r="E204" s="43" t="s">
        <v>327</v>
      </c>
      <c r="F204" s="48" t="s">
        <v>25</v>
      </c>
      <c r="G204" s="44" t="s">
        <v>984</v>
      </c>
      <c r="H204" s="38">
        <v>110</v>
      </c>
      <c r="I204" s="38">
        <v>0</v>
      </c>
      <c r="J204" s="38">
        <v>20</v>
      </c>
      <c r="K204" s="38">
        <v>130</v>
      </c>
    </row>
    <row r="205" spans="1:11" x14ac:dyDescent="0.25">
      <c r="A205" s="4" t="s">
        <v>1016</v>
      </c>
      <c r="B205" s="3" t="s">
        <v>1017</v>
      </c>
      <c r="C205" s="60" t="s">
        <v>1018</v>
      </c>
      <c r="D205" s="3" t="s">
        <v>1019</v>
      </c>
      <c r="E205" s="43" t="s">
        <v>327</v>
      </c>
      <c r="F205" s="48" t="s">
        <v>25</v>
      </c>
      <c r="G205" s="44" t="s">
        <v>977</v>
      </c>
      <c r="H205" s="38">
        <v>450</v>
      </c>
      <c r="I205" s="38">
        <v>0</v>
      </c>
      <c r="J205" s="38">
        <v>20</v>
      </c>
      <c r="K205" s="38">
        <v>470</v>
      </c>
    </row>
    <row r="206" spans="1:11" x14ac:dyDescent="0.25">
      <c r="A206" s="4" t="s">
        <v>1058</v>
      </c>
      <c r="B206" s="3" t="s">
        <v>15</v>
      </c>
      <c r="C206" s="60" t="s">
        <v>54</v>
      </c>
      <c r="D206" s="60" t="s">
        <v>1059</v>
      </c>
      <c r="E206" s="43" t="s">
        <v>327</v>
      </c>
      <c r="F206" s="48" t="s">
        <v>25</v>
      </c>
      <c r="G206" s="48"/>
      <c r="H206" s="38">
        <v>28</v>
      </c>
      <c r="I206" s="38">
        <v>0</v>
      </c>
      <c r="J206" s="38">
        <v>20</v>
      </c>
      <c r="K206" s="82">
        <v>48</v>
      </c>
    </row>
    <row r="207" spans="1:11" x14ac:dyDescent="0.25">
      <c r="A207" s="4" t="s">
        <v>1060</v>
      </c>
      <c r="B207" s="3" t="s">
        <v>307</v>
      </c>
      <c r="C207" s="60" t="s">
        <v>297</v>
      </c>
      <c r="D207" s="60" t="s">
        <v>1061</v>
      </c>
      <c r="E207" s="43" t="s">
        <v>327</v>
      </c>
      <c r="F207" s="48" t="s">
        <v>25</v>
      </c>
      <c r="G207" s="48"/>
      <c r="H207" s="38">
        <v>61</v>
      </c>
      <c r="I207" s="38">
        <v>0</v>
      </c>
      <c r="J207" s="38">
        <v>25</v>
      </c>
      <c r="K207" s="82">
        <v>89</v>
      </c>
    </row>
    <row r="208" spans="1:11" x14ac:dyDescent="0.25">
      <c r="A208" s="4" t="s">
        <v>1062</v>
      </c>
      <c r="B208" s="3" t="s">
        <v>1063</v>
      </c>
      <c r="C208" s="60" t="s">
        <v>1064</v>
      </c>
      <c r="D208" s="60" t="s">
        <v>1065</v>
      </c>
      <c r="E208" s="43" t="s">
        <v>1098</v>
      </c>
      <c r="F208" s="48" t="s">
        <v>25</v>
      </c>
      <c r="G208" s="48"/>
      <c r="H208" s="38">
        <v>401</v>
      </c>
      <c r="I208" s="38">
        <v>0</v>
      </c>
      <c r="J208" s="38">
        <v>35</v>
      </c>
      <c r="K208" s="82">
        <v>436</v>
      </c>
    </row>
    <row r="209" spans="1:11" x14ac:dyDescent="0.25">
      <c r="A209" s="4" t="s">
        <v>1066</v>
      </c>
      <c r="B209" s="3" t="s">
        <v>1067</v>
      </c>
      <c r="C209" s="60" t="s">
        <v>1068</v>
      </c>
      <c r="D209" s="60" t="s">
        <v>1069</v>
      </c>
      <c r="E209" s="43" t="s">
        <v>1099</v>
      </c>
      <c r="F209" s="48" t="s">
        <v>25</v>
      </c>
      <c r="G209" s="48"/>
      <c r="H209" s="38">
        <v>16</v>
      </c>
      <c r="I209" s="38">
        <v>0</v>
      </c>
      <c r="J209" s="38">
        <v>20</v>
      </c>
      <c r="K209" s="82">
        <v>36</v>
      </c>
    </row>
    <row r="210" spans="1:11" x14ac:dyDescent="0.25">
      <c r="A210" s="4" t="s">
        <v>1070</v>
      </c>
      <c r="B210" s="3" t="s">
        <v>1071</v>
      </c>
      <c r="C210" s="60" t="s">
        <v>1072</v>
      </c>
      <c r="D210" s="60" t="s">
        <v>1073</v>
      </c>
      <c r="E210" s="43" t="s">
        <v>327</v>
      </c>
      <c r="F210" s="48" t="s">
        <v>25</v>
      </c>
      <c r="G210" s="48"/>
      <c r="H210" s="38">
        <v>61</v>
      </c>
      <c r="I210" s="38">
        <v>0</v>
      </c>
      <c r="J210" s="38">
        <v>10</v>
      </c>
      <c r="K210" s="82">
        <v>71</v>
      </c>
    </row>
    <row r="211" spans="1:11" x14ac:dyDescent="0.25">
      <c r="A211" s="4" t="s">
        <v>1074</v>
      </c>
      <c r="B211" s="3" t="s">
        <v>29</v>
      </c>
      <c r="C211" s="60" t="s">
        <v>1075</v>
      </c>
      <c r="D211" s="60" t="s">
        <v>587</v>
      </c>
      <c r="E211" s="43" t="s">
        <v>327</v>
      </c>
      <c r="F211" s="48" t="s">
        <v>25</v>
      </c>
      <c r="G211" s="48"/>
      <c r="H211" s="38">
        <v>61</v>
      </c>
      <c r="I211" s="38">
        <v>0</v>
      </c>
      <c r="J211" s="38">
        <v>10</v>
      </c>
      <c r="K211" s="82">
        <v>71</v>
      </c>
    </row>
    <row r="212" spans="1:11" x14ac:dyDescent="0.25">
      <c r="A212" s="4" t="s">
        <v>1076</v>
      </c>
      <c r="B212" s="3" t="s">
        <v>70</v>
      </c>
      <c r="C212" s="60" t="s">
        <v>1077</v>
      </c>
      <c r="D212" s="60" t="s">
        <v>1078</v>
      </c>
      <c r="E212" s="43" t="s">
        <v>327</v>
      </c>
      <c r="F212" s="48" t="s">
        <v>25</v>
      </c>
      <c r="G212" s="48"/>
      <c r="H212" s="38">
        <v>140</v>
      </c>
      <c r="I212" s="38">
        <v>0</v>
      </c>
      <c r="J212" s="38">
        <v>20</v>
      </c>
      <c r="K212" s="82">
        <v>160</v>
      </c>
    </row>
    <row r="213" spans="1:11" x14ac:dyDescent="0.25">
      <c r="A213" s="4" t="s">
        <v>1079</v>
      </c>
      <c r="B213" s="3" t="s">
        <v>1080</v>
      </c>
      <c r="C213" s="60" t="s">
        <v>1081</v>
      </c>
      <c r="D213" s="60" t="s">
        <v>1082</v>
      </c>
      <c r="E213" s="43" t="s">
        <v>356</v>
      </c>
      <c r="F213" s="48" t="s">
        <v>25</v>
      </c>
      <c r="G213" s="48"/>
      <c r="H213" s="38">
        <v>245</v>
      </c>
      <c r="I213" s="38">
        <v>0</v>
      </c>
      <c r="J213" s="38">
        <v>70</v>
      </c>
      <c r="K213" s="82">
        <v>315</v>
      </c>
    </row>
    <row r="214" spans="1:11" x14ac:dyDescent="0.25">
      <c r="A214" s="4" t="s">
        <v>1083</v>
      </c>
      <c r="B214" s="3" t="s">
        <v>418</v>
      </c>
      <c r="C214" s="60" t="s">
        <v>200</v>
      </c>
      <c r="D214" s="60" t="s">
        <v>1084</v>
      </c>
      <c r="E214" s="43" t="s">
        <v>356</v>
      </c>
      <c r="F214" s="48" t="s">
        <v>25</v>
      </c>
      <c r="G214" s="48"/>
      <c r="H214" s="38">
        <v>301</v>
      </c>
      <c r="I214" s="38">
        <v>0</v>
      </c>
      <c r="J214" s="38">
        <v>116</v>
      </c>
      <c r="K214" s="82">
        <v>417</v>
      </c>
    </row>
    <row r="215" spans="1:11" x14ac:dyDescent="0.25">
      <c r="A215" s="4" t="s">
        <v>1085</v>
      </c>
      <c r="B215" s="3" t="s">
        <v>136</v>
      </c>
      <c r="C215" s="60" t="s">
        <v>20</v>
      </c>
      <c r="D215" s="60" t="s">
        <v>1086</v>
      </c>
      <c r="E215" s="43" t="s">
        <v>356</v>
      </c>
      <c r="F215" s="48" t="s">
        <v>25</v>
      </c>
      <c r="G215" s="48"/>
      <c r="H215" s="38">
        <v>285</v>
      </c>
      <c r="I215" s="38">
        <v>0</v>
      </c>
      <c r="J215" s="38">
        <v>110</v>
      </c>
      <c r="K215" s="82">
        <v>395</v>
      </c>
    </row>
    <row r="216" spans="1:11" x14ac:dyDescent="0.25">
      <c r="A216" s="4" t="s">
        <v>1087</v>
      </c>
      <c r="B216" s="3" t="s">
        <v>371</v>
      </c>
      <c r="C216" s="60" t="s">
        <v>373</v>
      </c>
      <c r="D216" s="60" t="s">
        <v>1088</v>
      </c>
      <c r="E216" s="43" t="s">
        <v>356</v>
      </c>
      <c r="F216" s="48" t="s">
        <v>25</v>
      </c>
      <c r="G216" s="48"/>
      <c r="H216" s="38">
        <v>220</v>
      </c>
      <c r="I216" s="38">
        <v>0</v>
      </c>
      <c r="J216" s="38">
        <v>110</v>
      </c>
      <c r="K216" s="82">
        <v>329</v>
      </c>
    </row>
    <row r="217" spans="1:11" x14ac:dyDescent="0.25">
      <c r="A217" s="4" t="s">
        <v>1089</v>
      </c>
      <c r="B217" s="3" t="s">
        <v>70</v>
      </c>
      <c r="C217" s="60" t="s">
        <v>1077</v>
      </c>
      <c r="D217" s="60" t="s">
        <v>1090</v>
      </c>
      <c r="E217" s="43" t="s">
        <v>1100</v>
      </c>
      <c r="F217" s="48" t="s">
        <v>25</v>
      </c>
      <c r="G217" s="48"/>
      <c r="H217" s="38">
        <v>94</v>
      </c>
      <c r="I217" s="38">
        <v>0</v>
      </c>
      <c r="J217" s="38">
        <v>20</v>
      </c>
      <c r="K217" s="82">
        <v>114</v>
      </c>
    </row>
    <row r="218" spans="1:11" x14ac:dyDescent="0.25">
      <c r="A218" s="4" t="s">
        <v>1091</v>
      </c>
      <c r="B218" s="3" t="s">
        <v>211</v>
      </c>
      <c r="C218" s="60" t="s">
        <v>1092</v>
      </c>
      <c r="D218" s="60" t="s">
        <v>1093</v>
      </c>
      <c r="E218" s="43" t="s">
        <v>254</v>
      </c>
      <c r="F218" s="48" t="s">
        <v>25</v>
      </c>
      <c r="G218" s="48"/>
      <c r="H218" s="38">
        <v>66</v>
      </c>
      <c r="I218" s="38">
        <v>0</v>
      </c>
      <c r="J218" s="38">
        <v>20</v>
      </c>
      <c r="K218" s="82">
        <v>86</v>
      </c>
    </row>
    <row r="219" spans="1:11" x14ac:dyDescent="0.25">
      <c r="A219" s="4" t="s">
        <v>1094</v>
      </c>
      <c r="B219" s="3" t="s">
        <v>216</v>
      </c>
      <c r="C219" s="60" t="s">
        <v>263</v>
      </c>
      <c r="D219" s="60" t="s">
        <v>1095</v>
      </c>
      <c r="E219" s="43" t="s">
        <v>1101</v>
      </c>
      <c r="F219" s="48" t="s">
        <v>25</v>
      </c>
      <c r="G219" s="48"/>
      <c r="H219" s="38">
        <v>108</v>
      </c>
      <c r="I219" s="38">
        <v>0</v>
      </c>
      <c r="J219" s="38">
        <v>20</v>
      </c>
      <c r="K219" s="82">
        <v>128</v>
      </c>
    </row>
    <row r="220" spans="1:11" x14ac:dyDescent="0.25">
      <c r="A220" s="4" t="s">
        <v>1096</v>
      </c>
      <c r="B220" s="3" t="s">
        <v>418</v>
      </c>
      <c r="C220" s="60" t="s">
        <v>200</v>
      </c>
      <c r="D220" s="60" t="s">
        <v>1097</v>
      </c>
      <c r="E220" s="43" t="s">
        <v>1102</v>
      </c>
      <c r="F220" s="48" t="s">
        <v>25</v>
      </c>
      <c r="G220" s="48"/>
      <c r="H220" s="38">
        <v>590</v>
      </c>
      <c r="I220" s="38">
        <v>0</v>
      </c>
      <c r="J220" s="38">
        <v>20</v>
      </c>
      <c r="K220" s="82">
        <v>610</v>
      </c>
    </row>
    <row r="221" spans="1:11" x14ac:dyDescent="0.25">
      <c r="A221" s="4">
        <v>45709.827291666668</v>
      </c>
      <c r="B221" s="3" t="s">
        <v>15</v>
      </c>
      <c r="C221" s="60" t="s">
        <v>54</v>
      </c>
      <c r="D221" s="3" t="s">
        <v>972</v>
      </c>
      <c r="E221" s="43" t="s">
        <v>327</v>
      </c>
      <c r="F221" s="48" t="s">
        <v>25</v>
      </c>
      <c r="G221" s="44"/>
      <c r="H221" s="38">
        <v>20</v>
      </c>
      <c r="I221" s="38">
        <v>0</v>
      </c>
      <c r="J221" s="38">
        <v>20</v>
      </c>
      <c r="K221" s="38">
        <v>40</v>
      </c>
    </row>
    <row r="222" spans="1:11" x14ac:dyDescent="0.25">
      <c r="A222" s="4" t="s">
        <v>386</v>
      </c>
      <c r="B222" s="3" t="s">
        <v>382</v>
      </c>
      <c r="C222" s="63" t="s">
        <v>384</v>
      </c>
      <c r="D222" s="3" t="s">
        <v>385</v>
      </c>
      <c r="E222" s="43" t="s">
        <v>411</v>
      </c>
      <c r="F222" s="48" t="s">
        <v>25</v>
      </c>
      <c r="G222" s="48"/>
      <c r="H222" s="38">
        <v>590</v>
      </c>
      <c r="I222" s="49">
        <v>0</v>
      </c>
      <c r="J222" s="38">
        <v>20</v>
      </c>
      <c r="K222" s="38">
        <v>610</v>
      </c>
    </row>
    <row r="223" spans="1:11" x14ac:dyDescent="0.25">
      <c r="A223" s="4" t="s">
        <v>381</v>
      </c>
      <c r="B223" s="3" t="s">
        <v>70</v>
      </c>
      <c r="C223" s="63" t="s">
        <v>425</v>
      </c>
      <c r="D223" s="3" t="s">
        <v>380</v>
      </c>
      <c r="E223" s="43" t="s">
        <v>966</v>
      </c>
      <c r="F223" s="48" t="s">
        <v>25</v>
      </c>
      <c r="G223" s="48"/>
      <c r="H223" s="38">
        <v>386</v>
      </c>
      <c r="I223" s="49">
        <v>0</v>
      </c>
      <c r="J223" s="38">
        <v>20</v>
      </c>
      <c r="K223" s="38">
        <v>406</v>
      </c>
    </row>
    <row r="224" spans="1:11" x14ac:dyDescent="0.25">
      <c r="A224" s="4" t="s">
        <v>379</v>
      </c>
      <c r="B224" s="3" t="s">
        <v>418</v>
      </c>
      <c r="C224" s="63" t="s">
        <v>176</v>
      </c>
      <c r="D224" s="3" t="s">
        <v>378</v>
      </c>
      <c r="E224" s="43" t="s">
        <v>967</v>
      </c>
      <c r="F224" s="48" t="s">
        <v>25</v>
      </c>
      <c r="G224" s="48"/>
      <c r="H224" s="38">
        <v>260</v>
      </c>
      <c r="I224" s="49">
        <v>0</v>
      </c>
      <c r="J224" s="38">
        <v>20</v>
      </c>
      <c r="K224" s="38">
        <v>280</v>
      </c>
    </row>
    <row r="225" spans="1:11" x14ac:dyDescent="0.25">
      <c r="A225" s="4" t="s">
        <v>374</v>
      </c>
      <c r="B225" s="3" t="s">
        <v>371</v>
      </c>
      <c r="C225" s="63" t="s">
        <v>373</v>
      </c>
      <c r="D225" s="3" t="s">
        <v>412</v>
      </c>
      <c r="E225" s="43" t="s">
        <v>356</v>
      </c>
      <c r="F225" s="48" t="s">
        <v>25</v>
      </c>
      <c r="G225" s="48"/>
      <c r="H225" s="38">
        <v>224</v>
      </c>
      <c r="I225" s="49">
        <v>0</v>
      </c>
      <c r="J225" s="38">
        <v>25</v>
      </c>
      <c r="K225" s="38">
        <v>249</v>
      </c>
    </row>
    <row r="226" spans="1:11" x14ac:dyDescent="0.25">
      <c r="A226" s="4" t="s">
        <v>355</v>
      </c>
      <c r="B226" s="3" t="s">
        <v>253</v>
      </c>
      <c r="C226" s="63" t="s">
        <v>353</v>
      </c>
      <c r="D226" s="3" t="s">
        <v>354</v>
      </c>
      <c r="E226" s="43" t="s">
        <v>356</v>
      </c>
      <c r="F226" s="48" t="s">
        <v>25</v>
      </c>
      <c r="G226" s="48"/>
      <c r="H226" s="38">
        <v>210</v>
      </c>
      <c r="I226" s="49">
        <v>0</v>
      </c>
      <c r="J226" s="38">
        <v>25</v>
      </c>
      <c r="K226" s="38">
        <v>235</v>
      </c>
    </row>
    <row r="227" spans="1:11" x14ac:dyDescent="0.25">
      <c r="A227" s="4" t="s">
        <v>351</v>
      </c>
      <c r="B227" s="3" t="s">
        <v>347</v>
      </c>
      <c r="C227" s="63" t="s">
        <v>349</v>
      </c>
      <c r="D227" s="3" t="s">
        <v>350</v>
      </c>
      <c r="E227" s="43" t="s">
        <v>327</v>
      </c>
      <c r="F227" s="48" t="s">
        <v>25</v>
      </c>
      <c r="G227" s="48"/>
      <c r="H227" s="38">
        <v>113</v>
      </c>
      <c r="I227" s="49">
        <v>0</v>
      </c>
      <c r="J227" s="38">
        <v>20</v>
      </c>
      <c r="K227" s="38">
        <v>133</v>
      </c>
    </row>
    <row r="228" spans="1:11" x14ac:dyDescent="0.25">
      <c r="A228" s="4" t="s">
        <v>346</v>
      </c>
      <c r="B228" s="3" t="s">
        <v>70</v>
      </c>
      <c r="C228" s="63" t="s">
        <v>425</v>
      </c>
      <c r="D228" s="3" t="s">
        <v>345</v>
      </c>
      <c r="E228" s="43" t="s">
        <v>410</v>
      </c>
      <c r="F228" s="48" t="s">
        <v>25</v>
      </c>
      <c r="G228" s="48"/>
      <c r="H228" s="38">
        <v>945</v>
      </c>
      <c r="I228" s="49">
        <v>0</v>
      </c>
      <c r="J228" s="38">
        <v>40</v>
      </c>
      <c r="K228" s="38">
        <v>985</v>
      </c>
    </row>
    <row r="229" spans="1:11" x14ac:dyDescent="0.25">
      <c r="A229" s="4" t="s">
        <v>343</v>
      </c>
      <c r="B229" s="3" t="s">
        <v>1148</v>
      </c>
      <c r="C229" s="63" t="s">
        <v>342</v>
      </c>
      <c r="D229" s="3" t="s">
        <v>409</v>
      </c>
      <c r="E229" s="43" t="s">
        <v>344</v>
      </c>
      <c r="F229" s="48" t="s">
        <v>25</v>
      </c>
      <c r="G229" s="48"/>
      <c r="H229" s="38">
        <v>166</v>
      </c>
      <c r="I229" s="49">
        <v>0</v>
      </c>
      <c r="J229" s="38">
        <v>40</v>
      </c>
      <c r="K229" s="38">
        <v>206</v>
      </c>
    </row>
    <row r="230" spans="1:11" x14ac:dyDescent="0.25">
      <c r="A230" s="4" t="s">
        <v>338</v>
      </c>
      <c r="B230" s="3" t="s">
        <v>70</v>
      </c>
      <c r="C230" s="63" t="s">
        <v>425</v>
      </c>
      <c r="D230" s="3" t="s">
        <v>408</v>
      </c>
      <c r="E230" s="43" t="s">
        <v>339</v>
      </c>
      <c r="F230" s="48" t="s">
        <v>25</v>
      </c>
      <c r="G230" s="48"/>
      <c r="H230" s="38">
        <v>35</v>
      </c>
      <c r="I230" s="49">
        <v>0</v>
      </c>
      <c r="J230" s="38">
        <v>20</v>
      </c>
      <c r="K230" s="38">
        <v>55</v>
      </c>
    </row>
    <row r="231" spans="1:11" x14ac:dyDescent="0.25">
      <c r="A231" s="4" t="s">
        <v>337</v>
      </c>
      <c r="B231" s="3" t="s">
        <v>413</v>
      </c>
      <c r="C231" s="60" t="s">
        <v>272</v>
      </c>
      <c r="D231" s="3" t="s">
        <v>336</v>
      </c>
      <c r="E231" s="43" t="s">
        <v>327</v>
      </c>
      <c r="F231" s="48" t="s">
        <v>25</v>
      </c>
      <c r="G231" s="48"/>
      <c r="H231" s="38">
        <v>152</v>
      </c>
      <c r="I231" s="49">
        <v>0</v>
      </c>
      <c r="J231" s="38">
        <v>20</v>
      </c>
      <c r="K231" s="38">
        <v>172</v>
      </c>
    </row>
    <row r="232" spans="1:11" x14ac:dyDescent="0.25">
      <c r="A232" s="4" t="s">
        <v>210</v>
      </c>
      <c r="B232" s="3" t="s">
        <v>211</v>
      </c>
      <c r="C232" s="63" t="s">
        <v>258</v>
      </c>
      <c r="D232" s="3" t="s">
        <v>259</v>
      </c>
      <c r="E232" s="43" t="s">
        <v>327</v>
      </c>
      <c r="F232" s="48" t="s">
        <v>25</v>
      </c>
      <c r="G232" s="80"/>
      <c r="H232" s="49">
        <v>68</v>
      </c>
      <c r="I232" s="38">
        <v>0</v>
      </c>
      <c r="J232" s="49">
        <v>20</v>
      </c>
      <c r="K232" s="49">
        <v>2</v>
      </c>
    </row>
    <row r="233" spans="1:11" x14ac:dyDescent="0.25">
      <c r="A233" s="4" t="s">
        <v>212</v>
      </c>
      <c r="B233" s="3" t="s">
        <v>70</v>
      </c>
      <c r="C233" s="63" t="s">
        <v>425</v>
      </c>
      <c r="D233" s="3" t="s">
        <v>260</v>
      </c>
      <c r="E233" s="43" t="s">
        <v>327</v>
      </c>
      <c r="F233" s="48" t="s">
        <v>25</v>
      </c>
      <c r="G233" s="80"/>
      <c r="H233" s="49">
        <v>166</v>
      </c>
      <c r="I233" s="38">
        <v>0</v>
      </c>
      <c r="J233" s="49">
        <v>20</v>
      </c>
      <c r="K233" s="38">
        <v>186</v>
      </c>
    </row>
    <row r="234" spans="1:11" x14ac:dyDescent="0.25">
      <c r="A234" s="4" t="s">
        <v>213</v>
      </c>
      <c r="B234" s="3" t="s">
        <v>214</v>
      </c>
      <c r="C234" s="63" t="s">
        <v>261</v>
      </c>
      <c r="D234" s="3" t="s">
        <v>262</v>
      </c>
      <c r="E234" s="43" t="s">
        <v>390</v>
      </c>
      <c r="F234" s="48" t="s">
        <v>25</v>
      </c>
      <c r="G234" s="80"/>
      <c r="H234" s="49">
        <v>435</v>
      </c>
      <c r="I234" s="49">
        <v>5</v>
      </c>
      <c r="J234" s="49">
        <v>20</v>
      </c>
      <c r="K234" s="38">
        <v>460</v>
      </c>
    </row>
    <row r="235" spans="1:11" x14ac:dyDescent="0.25">
      <c r="A235" s="4" t="s">
        <v>215</v>
      </c>
      <c r="B235" s="3" t="s">
        <v>216</v>
      </c>
      <c r="C235" s="60" t="s">
        <v>263</v>
      </c>
      <c r="D235" s="3" t="s">
        <v>264</v>
      </c>
      <c r="E235" s="43" t="s">
        <v>391</v>
      </c>
      <c r="F235" s="48" t="s">
        <v>14</v>
      </c>
      <c r="G235" s="80"/>
      <c r="H235" s="49">
        <v>110</v>
      </c>
      <c r="I235" s="49">
        <v>0</v>
      </c>
      <c r="J235" s="49">
        <v>20</v>
      </c>
      <c r="K235" s="38">
        <v>130</v>
      </c>
    </row>
    <row r="236" spans="1:11" x14ac:dyDescent="0.25">
      <c r="A236" s="4" t="s">
        <v>217</v>
      </c>
      <c r="B236" s="3" t="s">
        <v>1162</v>
      </c>
      <c r="C236" s="63" t="s">
        <v>265</v>
      </c>
      <c r="D236" s="3" t="s">
        <v>962</v>
      </c>
      <c r="E236" s="43" t="s">
        <v>392</v>
      </c>
      <c r="F236" s="48" t="s">
        <v>14</v>
      </c>
      <c r="G236" s="80"/>
      <c r="H236" s="49">
        <v>200</v>
      </c>
      <c r="I236" s="49">
        <v>0</v>
      </c>
      <c r="J236" s="49">
        <v>20</v>
      </c>
      <c r="K236" s="38">
        <v>220</v>
      </c>
    </row>
    <row r="237" spans="1:11" x14ac:dyDescent="0.25">
      <c r="A237" s="4" t="s">
        <v>218</v>
      </c>
      <c r="B237" s="3" t="s">
        <v>219</v>
      </c>
      <c r="C237" s="63" t="s">
        <v>266</v>
      </c>
      <c r="D237" s="3" t="s">
        <v>267</v>
      </c>
      <c r="E237" s="43" t="s">
        <v>327</v>
      </c>
      <c r="F237" s="48" t="s">
        <v>25</v>
      </c>
      <c r="G237" s="80"/>
      <c r="H237" s="49">
        <v>200</v>
      </c>
      <c r="I237" s="38">
        <v>0</v>
      </c>
      <c r="J237" s="49">
        <v>20</v>
      </c>
      <c r="K237" s="38">
        <v>220</v>
      </c>
    </row>
    <row r="238" spans="1:11" x14ac:dyDescent="0.25">
      <c r="A238" s="4" t="s">
        <v>220</v>
      </c>
      <c r="B238" s="3" t="s">
        <v>1153</v>
      </c>
      <c r="C238" s="63" t="s">
        <v>268</v>
      </c>
      <c r="D238" s="3" t="s">
        <v>269</v>
      </c>
      <c r="E238" s="43" t="s">
        <v>327</v>
      </c>
      <c r="F238" s="48" t="s">
        <v>25</v>
      </c>
      <c r="G238" s="80"/>
      <c r="H238" s="49">
        <v>27</v>
      </c>
      <c r="I238" s="38">
        <v>0</v>
      </c>
      <c r="J238" s="49">
        <v>20</v>
      </c>
      <c r="K238" s="38">
        <v>47</v>
      </c>
    </row>
    <row r="239" spans="1:11" x14ac:dyDescent="0.25">
      <c r="A239" s="4" t="s">
        <v>221</v>
      </c>
      <c r="B239" s="3" t="s">
        <v>128</v>
      </c>
      <c r="C239" s="63" t="s">
        <v>129</v>
      </c>
      <c r="D239" s="3" t="s">
        <v>270</v>
      </c>
      <c r="E239" s="43" t="s">
        <v>393</v>
      </c>
      <c r="F239" s="48" t="s">
        <v>25</v>
      </c>
      <c r="G239" s="80"/>
      <c r="H239" s="49">
        <v>212</v>
      </c>
      <c r="I239" s="38">
        <v>0</v>
      </c>
      <c r="J239" s="49">
        <v>45</v>
      </c>
      <c r="K239" s="38">
        <v>257</v>
      </c>
    </row>
    <row r="240" spans="1:11" x14ac:dyDescent="0.25">
      <c r="A240" s="4" t="s">
        <v>222</v>
      </c>
      <c r="B240" s="3" t="s">
        <v>214</v>
      </c>
      <c r="C240" s="63" t="s">
        <v>261</v>
      </c>
      <c r="D240" s="3" t="s">
        <v>271</v>
      </c>
      <c r="E240" s="43" t="s">
        <v>964</v>
      </c>
      <c r="F240" s="48" t="s">
        <v>25</v>
      </c>
      <c r="G240" s="80"/>
      <c r="H240" s="49">
        <v>340</v>
      </c>
      <c r="I240" s="38">
        <v>10</v>
      </c>
      <c r="J240" s="49">
        <v>20</v>
      </c>
      <c r="K240" s="38">
        <v>370</v>
      </c>
    </row>
    <row r="241" spans="1:11" x14ac:dyDescent="0.25">
      <c r="A241" s="4" t="s">
        <v>223</v>
      </c>
      <c r="B241" s="3" t="s">
        <v>413</v>
      </c>
      <c r="C241" s="63" t="s">
        <v>272</v>
      </c>
      <c r="D241" s="3" t="s">
        <v>273</v>
      </c>
      <c r="E241" s="43" t="s">
        <v>327</v>
      </c>
      <c r="F241" s="48" t="s">
        <v>25</v>
      </c>
      <c r="G241" s="80"/>
      <c r="H241" s="49">
        <v>123</v>
      </c>
      <c r="I241" s="49">
        <v>0</v>
      </c>
      <c r="J241" s="49">
        <v>20</v>
      </c>
      <c r="K241" s="38">
        <v>143</v>
      </c>
    </row>
    <row r="242" spans="1:11" x14ac:dyDescent="0.25">
      <c r="A242" s="4" t="s">
        <v>224</v>
      </c>
      <c r="B242" s="3" t="s">
        <v>216</v>
      </c>
      <c r="C242" s="60" t="s">
        <v>263</v>
      </c>
      <c r="D242" s="3" t="s">
        <v>274</v>
      </c>
      <c r="E242" s="43" t="s">
        <v>394</v>
      </c>
      <c r="F242" s="48" t="s">
        <v>25</v>
      </c>
      <c r="G242" s="80"/>
      <c r="H242" s="49">
        <v>61</v>
      </c>
      <c r="I242" s="49">
        <v>0</v>
      </c>
      <c r="J242" s="49">
        <v>20</v>
      </c>
      <c r="K242" s="38">
        <v>81</v>
      </c>
    </row>
    <row r="243" spans="1:11" x14ac:dyDescent="0.25">
      <c r="A243" s="4" t="s">
        <v>225</v>
      </c>
      <c r="B243" s="3" t="s">
        <v>70</v>
      </c>
      <c r="C243" s="63" t="s">
        <v>425</v>
      </c>
      <c r="D243" s="3" t="s">
        <v>275</v>
      </c>
      <c r="E243" s="43" t="s">
        <v>395</v>
      </c>
      <c r="F243" s="48" t="s">
        <v>14</v>
      </c>
      <c r="G243" s="80"/>
      <c r="H243" s="49">
        <v>260</v>
      </c>
      <c r="I243" s="38">
        <v>0</v>
      </c>
      <c r="J243" s="49">
        <v>25</v>
      </c>
      <c r="K243" s="38">
        <v>285</v>
      </c>
    </row>
    <row r="244" spans="1:11" x14ac:dyDescent="0.25">
      <c r="A244" s="4" t="s">
        <v>226</v>
      </c>
      <c r="B244" s="3" t="s">
        <v>15</v>
      </c>
      <c r="C244" s="60" t="s">
        <v>54</v>
      </c>
      <c r="D244" s="3" t="s">
        <v>276</v>
      </c>
      <c r="E244" s="43" t="s">
        <v>396</v>
      </c>
      <c r="F244" s="48" t="s">
        <v>14</v>
      </c>
      <c r="G244" s="80"/>
      <c r="H244" s="49">
        <v>328</v>
      </c>
      <c r="I244" s="38">
        <v>0</v>
      </c>
      <c r="J244" s="49">
        <v>20</v>
      </c>
      <c r="K244" s="38">
        <v>348</v>
      </c>
    </row>
    <row r="245" spans="1:11" x14ac:dyDescent="0.25">
      <c r="A245" s="4" t="s">
        <v>227</v>
      </c>
      <c r="B245" s="3" t="s">
        <v>418</v>
      </c>
      <c r="C245" s="63" t="s">
        <v>176</v>
      </c>
      <c r="D245" s="3" t="s">
        <v>277</v>
      </c>
      <c r="E245" s="43" t="s">
        <v>397</v>
      </c>
      <c r="F245" s="48" t="s">
        <v>25</v>
      </c>
      <c r="G245" s="80"/>
      <c r="H245" s="49">
        <v>244</v>
      </c>
      <c r="I245" s="38">
        <v>0</v>
      </c>
      <c r="J245" s="49">
        <v>30</v>
      </c>
      <c r="K245" s="38">
        <v>274</v>
      </c>
    </row>
    <row r="246" spans="1:11" x14ac:dyDescent="0.25">
      <c r="A246" s="4" t="s">
        <v>228</v>
      </c>
      <c r="B246" s="3" t="s">
        <v>229</v>
      </c>
      <c r="C246" s="63" t="s">
        <v>278</v>
      </c>
      <c r="D246" s="3" t="s">
        <v>279</v>
      </c>
      <c r="E246" s="43" t="s">
        <v>398</v>
      </c>
      <c r="F246" s="48" t="s">
        <v>25</v>
      </c>
      <c r="G246" s="80"/>
      <c r="H246" s="49">
        <v>270</v>
      </c>
      <c r="I246" s="38">
        <v>0</v>
      </c>
      <c r="J246" s="49">
        <v>70</v>
      </c>
      <c r="K246" s="38">
        <v>310</v>
      </c>
    </row>
    <row r="247" spans="1:11" x14ac:dyDescent="0.25">
      <c r="A247" s="4" t="s">
        <v>230</v>
      </c>
      <c r="B247" s="3" t="s">
        <v>231</v>
      </c>
      <c r="C247" s="63" t="s">
        <v>280</v>
      </c>
      <c r="D247" s="3" t="s">
        <v>281</v>
      </c>
      <c r="E247" s="43" t="s">
        <v>327</v>
      </c>
      <c r="F247" s="48" t="s">
        <v>25</v>
      </c>
      <c r="G247" s="80"/>
      <c r="H247" s="49">
        <v>187</v>
      </c>
      <c r="I247" s="49">
        <v>13</v>
      </c>
      <c r="J247" s="49">
        <v>20</v>
      </c>
      <c r="K247" s="38">
        <v>220</v>
      </c>
    </row>
    <row r="248" spans="1:11" x14ac:dyDescent="0.25">
      <c r="A248" s="4" t="s">
        <v>232</v>
      </c>
      <c r="B248" s="3" t="s">
        <v>233</v>
      </c>
      <c r="C248" s="60" t="s">
        <v>282</v>
      </c>
      <c r="D248" s="3" t="s">
        <v>283</v>
      </c>
      <c r="E248" s="43" t="s">
        <v>399</v>
      </c>
      <c r="F248" s="48" t="s">
        <v>25</v>
      </c>
      <c r="G248" s="80"/>
      <c r="H248" s="49">
        <v>2</v>
      </c>
      <c r="I248" s="49">
        <v>0</v>
      </c>
      <c r="J248" s="49">
        <v>20</v>
      </c>
      <c r="K248" s="38">
        <v>22</v>
      </c>
    </row>
    <row r="249" spans="1:11" x14ac:dyDescent="0.25">
      <c r="A249" s="4" t="s">
        <v>234</v>
      </c>
      <c r="B249" s="3" t="s">
        <v>235</v>
      </c>
      <c r="C249" s="63" t="s">
        <v>284</v>
      </c>
      <c r="D249" s="3" t="s">
        <v>285</v>
      </c>
      <c r="E249" s="43" t="s">
        <v>327</v>
      </c>
      <c r="F249" s="48" t="s">
        <v>14</v>
      </c>
      <c r="G249" s="80"/>
      <c r="H249" s="49">
        <v>60</v>
      </c>
      <c r="I249" s="49">
        <v>0</v>
      </c>
      <c r="J249" s="49">
        <v>20</v>
      </c>
      <c r="K249" s="38">
        <v>80</v>
      </c>
    </row>
    <row r="250" spans="1:11" x14ac:dyDescent="0.25">
      <c r="A250" s="4" t="s">
        <v>236</v>
      </c>
      <c r="B250" s="3" t="s">
        <v>418</v>
      </c>
      <c r="C250" s="63" t="s">
        <v>176</v>
      </c>
      <c r="D250" s="3" t="s">
        <v>286</v>
      </c>
      <c r="E250" s="43" t="s">
        <v>400</v>
      </c>
      <c r="F250" s="48" t="s">
        <v>25</v>
      </c>
      <c r="G250" s="80"/>
      <c r="H250" s="49">
        <v>146</v>
      </c>
      <c r="I250" s="49">
        <v>0</v>
      </c>
      <c r="J250" s="49">
        <v>22</v>
      </c>
      <c r="K250" s="38">
        <v>168</v>
      </c>
    </row>
    <row r="251" spans="1:11" x14ac:dyDescent="0.25">
      <c r="A251" s="4" t="s">
        <v>237</v>
      </c>
      <c r="B251" s="3" t="s">
        <v>15</v>
      </c>
      <c r="C251" s="60" t="s">
        <v>54</v>
      </c>
      <c r="D251" s="3" t="s">
        <v>287</v>
      </c>
      <c r="E251" s="43" t="s">
        <v>327</v>
      </c>
      <c r="F251" s="48" t="s">
        <v>14</v>
      </c>
      <c r="G251" s="80"/>
      <c r="H251" s="49">
        <v>109</v>
      </c>
      <c r="I251" s="49">
        <v>0</v>
      </c>
      <c r="J251" s="49">
        <v>41</v>
      </c>
      <c r="K251" s="38">
        <v>150</v>
      </c>
    </row>
    <row r="252" spans="1:11" x14ac:dyDescent="0.25">
      <c r="A252" s="4" t="s">
        <v>238</v>
      </c>
      <c r="B252" s="3" t="s">
        <v>211</v>
      </c>
      <c r="C252" s="63" t="s">
        <v>258</v>
      </c>
      <c r="D252" s="3" t="s">
        <v>288</v>
      </c>
      <c r="E252" s="43" t="s">
        <v>400</v>
      </c>
      <c r="F252" s="48" t="s">
        <v>25</v>
      </c>
      <c r="G252" s="80"/>
      <c r="H252" s="49">
        <v>96</v>
      </c>
      <c r="I252" s="49">
        <v>6</v>
      </c>
      <c r="J252" s="49">
        <v>20</v>
      </c>
      <c r="K252" s="38">
        <v>122</v>
      </c>
    </row>
    <row r="253" spans="1:11" x14ac:dyDescent="0.25">
      <c r="A253" s="4" t="s">
        <v>239</v>
      </c>
      <c r="B253" s="3" t="s">
        <v>252</v>
      </c>
      <c r="C253" s="63" t="s">
        <v>289</v>
      </c>
      <c r="D253" s="3" t="s">
        <v>290</v>
      </c>
      <c r="E253" s="43" t="s">
        <v>401</v>
      </c>
      <c r="F253" s="48" t="s">
        <v>25</v>
      </c>
      <c r="G253" s="80"/>
      <c r="H253" s="49">
        <v>431</v>
      </c>
      <c r="I253" s="49">
        <v>0</v>
      </c>
      <c r="J253" s="49">
        <v>89</v>
      </c>
      <c r="K253" s="38">
        <v>520</v>
      </c>
    </row>
    <row r="254" spans="1:11" x14ac:dyDescent="0.25">
      <c r="A254" s="4" t="s">
        <v>240</v>
      </c>
      <c r="B254" s="3" t="s">
        <v>417</v>
      </c>
      <c r="C254" s="63" t="s">
        <v>416</v>
      </c>
      <c r="D254" s="3" t="s">
        <v>291</v>
      </c>
      <c r="E254" s="43" t="s">
        <v>963</v>
      </c>
      <c r="F254" s="48" t="s">
        <v>25</v>
      </c>
      <c r="G254" s="80"/>
      <c r="H254" s="49">
        <v>65</v>
      </c>
      <c r="I254" s="49">
        <v>0</v>
      </c>
      <c r="J254" s="49">
        <v>25</v>
      </c>
      <c r="K254" s="38">
        <v>90</v>
      </c>
    </row>
    <row r="255" spans="1:11" x14ac:dyDescent="0.25">
      <c r="A255" s="4" t="s">
        <v>241</v>
      </c>
      <c r="B255" s="3" t="s">
        <v>70</v>
      </c>
      <c r="C255" s="63" t="s">
        <v>425</v>
      </c>
      <c r="D255" s="3" t="s">
        <v>292</v>
      </c>
      <c r="E255" s="43" t="s">
        <v>402</v>
      </c>
      <c r="F255" s="48" t="s">
        <v>25</v>
      </c>
      <c r="G255" s="80"/>
      <c r="H255" s="49">
        <v>30</v>
      </c>
      <c r="I255" s="49">
        <v>0</v>
      </c>
      <c r="J255" s="49">
        <v>32</v>
      </c>
      <c r="K255" s="38">
        <v>62</v>
      </c>
    </row>
    <row r="256" spans="1:11" x14ac:dyDescent="0.25">
      <c r="A256" s="4" t="s">
        <v>242</v>
      </c>
      <c r="B256" s="3" t="s">
        <v>243</v>
      </c>
      <c r="C256" s="63" t="s">
        <v>293</v>
      </c>
      <c r="D256" s="3" t="s">
        <v>294</v>
      </c>
      <c r="E256" s="43" t="s">
        <v>256</v>
      </c>
      <c r="F256" s="48" t="s">
        <v>25</v>
      </c>
      <c r="G256" s="80"/>
      <c r="H256" s="49">
        <v>170</v>
      </c>
      <c r="I256" s="49">
        <v>18</v>
      </c>
      <c r="J256" s="49">
        <v>20</v>
      </c>
      <c r="K256" s="38">
        <v>208</v>
      </c>
    </row>
    <row r="257" spans="1:11" x14ac:dyDescent="0.25">
      <c r="A257" s="4" t="s">
        <v>244</v>
      </c>
      <c r="B257" s="3" t="s">
        <v>252</v>
      </c>
      <c r="C257" s="63" t="s">
        <v>289</v>
      </c>
      <c r="D257" s="3" t="s">
        <v>295</v>
      </c>
      <c r="E257" s="43" t="s">
        <v>403</v>
      </c>
      <c r="F257" s="48" t="s">
        <v>14</v>
      </c>
      <c r="G257" s="80"/>
      <c r="H257" s="49">
        <v>100</v>
      </c>
      <c r="I257" s="49">
        <v>5</v>
      </c>
      <c r="J257" s="49">
        <v>20</v>
      </c>
      <c r="K257" s="38">
        <v>125</v>
      </c>
    </row>
    <row r="258" spans="1:11" x14ac:dyDescent="0.25">
      <c r="A258" s="4" t="s">
        <v>245</v>
      </c>
      <c r="B258" s="3" t="s">
        <v>246</v>
      </c>
      <c r="C258" s="63" t="s">
        <v>424</v>
      </c>
      <c r="D258" s="3" t="s">
        <v>296</v>
      </c>
      <c r="E258" s="43" t="s">
        <v>404</v>
      </c>
      <c r="F258" s="48" t="s">
        <v>25</v>
      </c>
      <c r="G258" s="80"/>
      <c r="H258" s="49">
        <v>53</v>
      </c>
      <c r="I258" s="49">
        <v>0</v>
      </c>
      <c r="J258" s="49">
        <v>22</v>
      </c>
      <c r="K258" s="38">
        <v>75</v>
      </c>
    </row>
    <row r="259" spans="1:11" x14ac:dyDescent="0.25">
      <c r="A259" s="4" t="s">
        <v>247</v>
      </c>
      <c r="B259" s="3" t="s">
        <v>70</v>
      </c>
      <c r="C259" s="63" t="s">
        <v>297</v>
      </c>
      <c r="D259" s="3" t="s">
        <v>298</v>
      </c>
      <c r="E259" s="43" t="s">
        <v>327</v>
      </c>
      <c r="F259" s="48" t="s">
        <v>25</v>
      </c>
      <c r="G259" s="80"/>
      <c r="H259" s="49">
        <v>92</v>
      </c>
      <c r="I259" s="49">
        <v>0</v>
      </c>
      <c r="J259" s="49">
        <v>28</v>
      </c>
      <c r="K259" s="38">
        <v>123</v>
      </c>
    </row>
    <row r="260" spans="1:11" x14ac:dyDescent="0.25">
      <c r="A260" s="4" t="s">
        <v>248</v>
      </c>
      <c r="B260" s="3" t="s">
        <v>413</v>
      </c>
      <c r="C260" s="63" t="s">
        <v>272</v>
      </c>
      <c r="D260" s="3" t="s">
        <v>299</v>
      </c>
      <c r="E260" s="43" t="s">
        <v>405</v>
      </c>
      <c r="F260" s="48" t="s">
        <v>25</v>
      </c>
      <c r="G260" s="80"/>
      <c r="H260" s="49"/>
      <c r="I260" s="49">
        <v>0</v>
      </c>
      <c r="J260" s="49"/>
      <c r="K260" s="38"/>
    </row>
    <row r="261" spans="1:11" x14ac:dyDescent="0.25">
      <c r="A261" s="4" t="s">
        <v>249</v>
      </c>
      <c r="B261" s="3" t="s">
        <v>70</v>
      </c>
      <c r="C261" s="63" t="s">
        <v>254</v>
      </c>
      <c r="D261" s="3" t="s">
        <v>300</v>
      </c>
      <c r="E261" s="43" t="s">
        <v>327</v>
      </c>
      <c r="F261" s="48" t="s">
        <v>25</v>
      </c>
      <c r="G261" s="80"/>
      <c r="H261" s="49">
        <v>245</v>
      </c>
      <c r="I261" s="49">
        <v>20</v>
      </c>
      <c r="J261" s="49">
        <v>25</v>
      </c>
      <c r="K261" s="38">
        <v>290</v>
      </c>
    </row>
    <row r="262" spans="1:11" x14ac:dyDescent="0.25">
      <c r="A262" s="4" t="s">
        <v>250</v>
      </c>
      <c r="B262" s="3" t="s">
        <v>251</v>
      </c>
      <c r="C262" s="63" t="s">
        <v>301</v>
      </c>
      <c r="D262" s="3" t="s">
        <v>302</v>
      </c>
      <c r="E262" s="43" t="s">
        <v>327</v>
      </c>
      <c r="F262" s="48" t="s">
        <v>25</v>
      </c>
      <c r="G262" s="80"/>
      <c r="H262" s="49">
        <v>58</v>
      </c>
      <c r="I262" s="49">
        <v>2</v>
      </c>
      <c r="J262" s="49">
        <v>28</v>
      </c>
      <c r="K262" s="38">
        <v>90</v>
      </c>
    </row>
    <row r="263" spans="1:11" x14ac:dyDescent="0.25">
      <c r="A263" s="4">
        <v>45700.844375000001</v>
      </c>
      <c r="B263" s="3" t="s">
        <v>252</v>
      </c>
      <c r="C263" s="63" t="s">
        <v>289</v>
      </c>
      <c r="D263" s="3" t="s">
        <v>303</v>
      </c>
      <c r="E263" s="43" t="s">
        <v>406</v>
      </c>
      <c r="F263" s="48" t="s">
        <v>25</v>
      </c>
      <c r="G263" s="80"/>
      <c r="H263" s="49">
        <v>10.5</v>
      </c>
      <c r="I263" s="49">
        <v>0.5</v>
      </c>
      <c r="J263" s="49">
        <v>20</v>
      </c>
      <c r="K263" s="38">
        <v>31</v>
      </c>
    </row>
    <row r="264" spans="1:11" x14ac:dyDescent="0.25">
      <c r="A264" s="4">
        <v>45700.834710648145</v>
      </c>
      <c r="B264" s="3" t="s">
        <v>1301</v>
      </c>
      <c r="C264" s="63" t="s">
        <v>304</v>
      </c>
      <c r="D264" s="3" t="s">
        <v>305</v>
      </c>
      <c r="E264" s="43" t="s">
        <v>329</v>
      </c>
      <c r="F264" s="48" t="s">
        <v>25</v>
      </c>
      <c r="G264" s="80"/>
      <c r="H264" s="49">
        <v>293</v>
      </c>
      <c r="I264" s="49">
        <v>5</v>
      </c>
      <c r="J264" s="49">
        <v>25</v>
      </c>
      <c r="K264" s="38">
        <v>353</v>
      </c>
    </row>
    <row r="265" spans="1:11" x14ac:dyDescent="0.25">
      <c r="A265" s="4">
        <v>45700.830937500003</v>
      </c>
      <c r="B265" s="3" t="s">
        <v>246</v>
      </c>
      <c r="C265" s="63" t="s">
        <v>424</v>
      </c>
      <c r="D265" s="3" t="s">
        <v>306</v>
      </c>
      <c r="E265" s="43" t="s">
        <v>325</v>
      </c>
      <c r="F265" s="48" t="s">
        <v>25</v>
      </c>
      <c r="G265" s="80"/>
      <c r="H265" s="49">
        <v>115</v>
      </c>
      <c r="I265" s="49">
        <v>10</v>
      </c>
      <c r="J265" s="49">
        <v>20</v>
      </c>
      <c r="K265" s="38">
        <v>158</v>
      </c>
    </row>
    <row r="266" spans="1:11" x14ac:dyDescent="0.25">
      <c r="A266" s="4">
        <v>45700.830451388887</v>
      </c>
      <c r="B266" s="3" t="s">
        <v>70</v>
      </c>
      <c r="C266" s="60" t="s">
        <v>307</v>
      </c>
      <c r="D266" s="3" t="s">
        <v>308</v>
      </c>
      <c r="E266" s="43" t="s">
        <v>407</v>
      </c>
      <c r="F266" s="48" t="s">
        <v>25</v>
      </c>
      <c r="G266" s="80"/>
      <c r="H266" s="49">
        <v>110</v>
      </c>
      <c r="I266" s="49">
        <v>0</v>
      </c>
      <c r="J266" s="49">
        <v>20</v>
      </c>
      <c r="K266" s="38">
        <v>130</v>
      </c>
    </row>
    <row r="267" spans="1:11" x14ac:dyDescent="0.25">
      <c r="A267" s="4">
        <v>45699.725254629629</v>
      </c>
      <c r="B267" s="3" t="s">
        <v>418</v>
      </c>
      <c r="C267" s="63" t="s">
        <v>176</v>
      </c>
      <c r="D267" s="3" t="s">
        <v>309</v>
      </c>
      <c r="E267" s="43" t="s">
        <v>327</v>
      </c>
      <c r="F267" s="48" t="s">
        <v>25</v>
      </c>
      <c r="G267" s="80"/>
      <c r="H267" s="49">
        <v>92</v>
      </c>
      <c r="I267" s="38">
        <v>10</v>
      </c>
      <c r="J267" s="49">
        <v>20</v>
      </c>
      <c r="K267" s="38">
        <v>122</v>
      </c>
    </row>
    <row r="268" spans="1:11" x14ac:dyDescent="0.25">
      <c r="A268" s="4">
        <v>45699.718564814815</v>
      </c>
      <c r="B268" s="3" t="s">
        <v>70</v>
      </c>
      <c r="C268" s="63" t="s">
        <v>105</v>
      </c>
      <c r="D268" s="3" t="s">
        <v>310</v>
      </c>
      <c r="E268" s="43" t="s">
        <v>327</v>
      </c>
      <c r="F268" s="48" t="s">
        <v>25</v>
      </c>
      <c r="G268" s="80"/>
      <c r="H268" s="49">
        <v>190</v>
      </c>
      <c r="I268" s="38">
        <v>0</v>
      </c>
      <c r="J268" s="49">
        <v>20</v>
      </c>
      <c r="K268" s="38">
        <v>210</v>
      </c>
    </row>
    <row r="269" spans="1:11" x14ac:dyDescent="0.25">
      <c r="A269" s="4">
        <v>45699.582442129627</v>
      </c>
      <c r="B269" s="3" t="s">
        <v>423</v>
      </c>
      <c r="C269" s="63" t="s">
        <v>311</v>
      </c>
      <c r="D269" s="3" t="s">
        <v>312</v>
      </c>
      <c r="E269" s="43" t="s">
        <v>257</v>
      </c>
      <c r="F269" s="48" t="s">
        <v>25</v>
      </c>
      <c r="G269" s="80"/>
      <c r="H269" s="49">
        <v>0</v>
      </c>
      <c r="I269" s="38">
        <v>0</v>
      </c>
      <c r="J269" s="49">
        <v>25</v>
      </c>
      <c r="K269" s="38">
        <v>25</v>
      </c>
    </row>
    <row r="270" spans="1:11" x14ac:dyDescent="0.25">
      <c r="A270" s="4">
        <v>45699.581956018519</v>
      </c>
      <c r="B270" s="3" t="s">
        <v>253</v>
      </c>
      <c r="C270" s="63" t="s">
        <v>313</v>
      </c>
      <c r="D270" s="3" t="s">
        <v>314</v>
      </c>
      <c r="E270" s="43" t="s">
        <v>325</v>
      </c>
      <c r="F270" s="48" t="s">
        <v>25</v>
      </c>
      <c r="G270" s="80"/>
      <c r="H270" s="49">
        <v>26</v>
      </c>
      <c r="I270" s="38">
        <v>14</v>
      </c>
      <c r="J270" s="49">
        <v>20</v>
      </c>
      <c r="K270" s="38">
        <v>60</v>
      </c>
    </row>
    <row r="271" spans="1:11" x14ac:dyDescent="0.25">
      <c r="A271" s="4">
        <v>45698.935254629629</v>
      </c>
      <c r="B271" s="3" t="s">
        <v>15</v>
      </c>
      <c r="C271" s="60" t="s">
        <v>54</v>
      </c>
      <c r="D271" s="3" t="s">
        <v>315</v>
      </c>
      <c r="E271" s="43"/>
      <c r="F271" s="48" t="s">
        <v>25</v>
      </c>
      <c r="G271" s="80"/>
      <c r="H271" s="49">
        <v>117</v>
      </c>
      <c r="I271" s="49">
        <v>10</v>
      </c>
      <c r="J271" s="49">
        <v>32</v>
      </c>
      <c r="K271" s="38">
        <v>158</v>
      </c>
    </row>
    <row r="272" spans="1:11" x14ac:dyDescent="0.25">
      <c r="A272" s="4">
        <v>45698.66306712963</v>
      </c>
      <c r="B272" s="3" t="s">
        <v>194</v>
      </c>
      <c r="C272" s="63" t="s">
        <v>195</v>
      </c>
      <c r="D272" s="3" t="s">
        <v>196</v>
      </c>
      <c r="E272" s="43"/>
      <c r="F272" s="41" t="s">
        <v>25</v>
      </c>
      <c r="G272" s="48"/>
      <c r="H272" s="38">
        <v>47</v>
      </c>
      <c r="I272" s="38">
        <v>10</v>
      </c>
      <c r="J272" s="38">
        <v>20</v>
      </c>
      <c r="K272" s="38">
        <v>70</v>
      </c>
    </row>
    <row r="273" spans="1:11" x14ac:dyDescent="0.25">
      <c r="A273" s="4">
        <v>45698.661736111113</v>
      </c>
      <c r="B273" s="3" t="s">
        <v>191</v>
      </c>
      <c r="C273" s="60" t="s">
        <v>192</v>
      </c>
      <c r="D273" s="3" t="s">
        <v>193</v>
      </c>
      <c r="E273" s="43"/>
      <c r="F273" s="41" t="s">
        <v>25</v>
      </c>
      <c r="G273" s="48"/>
      <c r="H273" s="38">
        <v>270</v>
      </c>
      <c r="I273" s="38">
        <v>34</v>
      </c>
      <c r="J273" s="38">
        <v>20</v>
      </c>
      <c r="K273" s="38">
        <v>317</v>
      </c>
    </row>
    <row r="274" spans="1:11" x14ac:dyDescent="0.25">
      <c r="A274" s="4">
        <v>45698.660717592589</v>
      </c>
      <c r="B274" s="3" t="s">
        <v>188</v>
      </c>
      <c r="C274" s="60" t="s">
        <v>189</v>
      </c>
      <c r="D274" s="3" t="s">
        <v>190</v>
      </c>
      <c r="E274" s="43"/>
      <c r="F274" s="41" t="s">
        <v>25</v>
      </c>
      <c r="G274" s="48"/>
      <c r="H274" s="38">
        <v>54</v>
      </c>
      <c r="I274" s="38">
        <v>0</v>
      </c>
      <c r="J274" s="38">
        <v>20</v>
      </c>
      <c r="K274" s="38">
        <v>75</v>
      </c>
    </row>
    <row r="275" spans="1:11" x14ac:dyDescent="0.25">
      <c r="A275" s="4">
        <v>45698.66306712963</v>
      </c>
      <c r="B275" s="3" t="s">
        <v>194</v>
      </c>
      <c r="C275" s="63" t="s">
        <v>195</v>
      </c>
      <c r="D275" s="3" t="s">
        <v>196</v>
      </c>
      <c r="E275" s="43"/>
      <c r="F275" s="41" t="s">
        <v>25</v>
      </c>
      <c r="G275" s="48"/>
      <c r="H275" s="38">
        <v>47</v>
      </c>
      <c r="I275" s="38">
        <v>10</v>
      </c>
      <c r="J275" s="38">
        <v>20</v>
      </c>
      <c r="K275" s="38">
        <v>70</v>
      </c>
    </row>
    <row r="276" spans="1:11" x14ac:dyDescent="0.25">
      <c r="A276" s="4">
        <v>45698.661736111113</v>
      </c>
      <c r="B276" s="3" t="s">
        <v>191</v>
      </c>
      <c r="C276" s="63" t="s">
        <v>192</v>
      </c>
      <c r="D276" s="3" t="s">
        <v>193</v>
      </c>
      <c r="E276" s="43"/>
      <c r="F276" s="41" t="s">
        <v>25</v>
      </c>
      <c r="G276" s="48"/>
      <c r="H276" s="38">
        <v>270</v>
      </c>
      <c r="I276" s="38">
        <v>34</v>
      </c>
      <c r="J276" s="38">
        <v>20</v>
      </c>
      <c r="K276" s="38">
        <v>317</v>
      </c>
    </row>
    <row r="277" spans="1:11" x14ac:dyDescent="0.25">
      <c r="A277" s="4">
        <v>45698.660717592589</v>
      </c>
      <c r="B277" s="3" t="s">
        <v>188</v>
      </c>
      <c r="C277" s="63" t="s">
        <v>189</v>
      </c>
      <c r="D277" s="3" t="s">
        <v>190</v>
      </c>
      <c r="E277" s="43"/>
      <c r="F277" s="41" t="s">
        <v>25</v>
      </c>
      <c r="G277" s="48"/>
      <c r="H277" s="38">
        <v>54</v>
      </c>
      <c r="I277" s="38">
        <v>0</v>
      </c>
      <c r="J277" s="38">
        <v>20</v>
      </c>
      <c r="K277" s="38">
        <v>75</v>
      </c>
    </row>
    <row r="278" spans="1:11" x14ac:dyDescent="0.25">
      <c r="A278" s="4">
        <v>45695.899409722224</v>
      </c>
      <c r="B278" s="3" t="s">
        <v>185</v>
      </c>
      <c r="C278" s="63" t="s">
        <v>186</v>
      </c>
      <c r="D278" s="3" t="s">
        <v>187</v>
      </c>
      <c r="E278" s="43"/>
      <c r="F278" s="41" t="s">
        <v>25</v>
      </c>
      <c r="G278" s="48"/>
      <c r="H278" s="38">
        <v>97</v>
      </c>
      <c r="I278" s="38">
        <v>0</v>
      </c>
      <c r="J278" s="38">
        <v>20</v>
      </c>
      <c r="K278" s="38">
        <v>125</v>
      </c>
    </row>
    <row r="279" spans="1:11" x14ac:dyDescent="0.25">
      <c r="A279" s="4">
        <v>45695.895266203705</v>
      </c>
      <c r="B279" s="3" t="s">
        <v>128</v>
      </c>
      <c r="C279" s="63" t="s">
        <v>129</v>
      </c>
      <c r="D279" s="3" t="s">
        <v>184</v>
      </c>
      <c r="E279" s="43"/>
      <c r="F279" s="41" t="s">
        <v>25</v>
      </c>
      <c r="G279" s="48"/>
      <c r="H279" s="38">
        <v>224</v>
      </c>
      <c r="I279" s="38">
        <v>0</v>
      </c>
      <c r="J279" s="38">
        <v>25</v>
      </c>
      <c r="K279" s="38">
        <v>265</v>
      </c>
    </row>
    <row r="280" spans="1:11" x14ac:dyDescent="0.25">
      <c r="A280" s="4">
        <v>45695.725578703707</v>
      </c>
      <c r="B280" s="3" t="s">
        <v>15</v>
      </c>
      <c r="C280" s="60" t="s">
        <v>54</v>
      </c>
      <c r="D280" s="3" t="s">
        <v>183</v>
      </c>
      <c r="E280" s="43"/>
      <c r="F280" s="41" t="s">
        <v>25</v>
      </c>
      <c r="G280" s="48"/>
      <c r="H280" s="38">
        <v>128</v>
      </c>
      <c r="I280" s="38">
        <v>0</v>
      </c>
      <c r="J280" s="38">
        <v>20</v>
      </c>
      <c r="K280" s="38">
        <v>248</v>
      </c>
    </row>
    <row r="281" spans="1:11" x14ac:dyDescent="0.25">
      <c r="A281" s="4">
        <v>45694.745127314818</v>
      </c>
      <c r="B281" s="3" t="s">
        <v>15</v>
      </c>
      <c r="C281" s="60" t="s">
        <v>54</v>
      </c>
      <c r="D281" s="3">
        <v>1</v>
      </c>
      <c r="E281" s="43"/>
      <c r="F281" s="41" t="s">
        <v>25</v>
      </c>
      <c r="G281" s="48"/>
      <c r="H281" s="38">
        <v>50</v>
      </c>
      <c r="I281" s="38">
        <v>0</v>
      </c>
      <c r="J281" s="38">
        <v>30</v>
      </c>
      <c r="K281" s="38">
        <v>80</v>
      </c>
    </row>
    <row r="282" spans="1:11" x14ac:dyDescent="0.25">
      <c r="A282" s="4">
        <v>45694.745127314818</v>
      </c>
      <c r="B282" s="3" t="s">
        <v>15</v>
      </c>
      <c r="C282" s="60" t="s">
        <v>54</v>
      </c>
      <c r="D282" s="3" t="s">
        <v>180</v>
      </c>
      <c r="E282" s="43"/>
      <c r="F282" s="41" t="s">
        <v>25</v>
      </c>
      <c r="G282" s="48"/>
      <c r="H282" s="38">
        <v>78</v>
      </c>
      <c r="I282" s="38">
        <v>0</v>
      </c>
      <c r="J282" s="38">
        <v>20</v>
      </c>
      <c r="K282" s="38">
        <v>100</v>
      </c>
    </row>
    <row r="283" spans="1:11" x14ac:dyDescent="0.25">
      <c r="A283" s="4">
        <v>45694.927256944444</v>
      </c>
      <c r="B283" s="3" t="s">
        <v>70</v>
      </c>
      <c r="C283" s="63" t="s">
        <v>105</v>
      </c>
      <c r="D283" s="3" t="s">
        <v>179</v>
      </c>
      <c r="E283" s="43"/>
      <c r="F283" s="41" t="s">
        <v>25</v>
      </c>
      <c r="G283" s="48"/>
      <c r="H283" s="38">
        <v>350</v>
      </c>
      <c r="I283" s="38">
        <v>0</v>
      </c>
      <c r="J283" s="38">
        <v>50</v>
      </c>
      <c r="K283" s="38">
        <v>400</v>
      </c>
    </row>
    <row r="284" spans="1:11" x14ac:dyDescent="0.25">
      <c r="A284" s="4">
        <v>45694.747141203705</v>
      </c>
      <c r="B284" s="3" t="s">
        <v>70</v>
      </c>
      <c r="C284" s="63" t="s">
        <v>105</v>
      </c>
      <c r="D284" s="3" t="s">
        <v>178</v>
      </c>
      <c r="E284" s="43"/>
      <c r="F284" s="41" t="s">
        <v>25</v>
      </c>
      <c r="G284" s="48"/>
      <c r="H284" s="38">
        <v>178</v>
      </c>
      <c r="I284" s="38">
        <v>12</v>
      </c>
      <c r="J284" s="38">
        <v>20</v>
      </c>
      <c r="K284" s="38">
        <v>210</v>
      </c>
    </row>
    <row r="285" spans="1:11" x14ac:dyDescent="0.25">
      <c r="A285" s="4">
        <v>45694.74659722222</v>
      </c>
      <c r="B285" s="3" t="s">
        <v>418</v>
      </c>
      <c r="C285" s="63" t="s">
        <v>176</v>
      </c>
      <c r="D285" s="3" t="s">
        <v>177</v>
      </c>
      <c r="E285" s="43"/>
      <c r="F285" s="41" t="s">
        <v>25</v>
      </c>
      <c r="G285" s="48"/>
      <c r="H285" s="38">
        <v>40</v>
      </c>
      <c r="I285" s="38">
        <v>0</v>
      </c>
      <c r="J285" s="38">
        <v>20</v>
      </c>
      <c r="K285" s="38">
        <v>60</v>
      </c>
    </row>
    <row r="286" spans="1:11" x14ac:dyDescent="0.25">
      <c r="A286" s="4">
        <v>45694.745127314818</v>
      </c>
      <c r="B286" s="3" t="s">
        <v>15</v>
      </c>
      <c r="C286" s="60" t="s">
        <v>54</v>
      </c>
      <c r="D286" s="3" t="s">
        <v>175</v>
      </c>
      <c r="E286" s="43"/>
      <c r="F286" s="41" t="s">
        <v>25</v>
      </c>
      <c r="G286" s="48"/>
      <c r="H286" s="38">
        <v>230</v>
      </c>
      <c r="I286" s="38">
        <v>50</v>
      </c>
      <c r="J286" s="38">
        <v>20</v>
      </c>
      <c r="K286" s="38">
        <v>280</v>
      </c>
    </row>
    <row r="287" spans="1:11" x14ac:dyDescent="0.25">
      <c r="A287" s="4">
        <v>45693.824282407404</v>
      </c>
      <c r="B287" s="3" t="s">
        <v>136</v>
      </c>
      <c r="C287" s="63" t="s">
        <v>20</v>
      </c>
      <c r="D287" s="3" t="s">
        <v>174</v>
      </c>
      <c r="E287" s="43"/>
      <c r="F287" s="41" t="s">
        <v>25</v>
      </c>
      <c r="G287" s="48"/>
      <c r="H287" s="38">
        <v>46</v>
      </c>
      <c r="I287" s="38">
        <v>0</v>
      </c>
      <c r="J287" s="38">
        <v>20</v>
      </c>
      <c r="K287" s="38">
        <v>66</v>
      </c>
    </row>
    <row r="288" spans="1:11" x14ac:dyDescent="0.25">
      <c r="A288" s="4">
        <v>45693.841898148145</v>
      </c>
      <c r="B288" s="3" t="s">
        <v>17</v>
      </c>
      <c r="C288" s="63" t="s">
        <v>18</v>
      </c>
      <c r="D288" s="61" t="s">
        <v>161</v>
      </c>
      <c r="E288" s="43"/>
      <c r="F288" s="41" t="s">
        <v>14</v>
      </c>
      <c r="G288" s="48"/>
      <c r="H288" s="38">
        <v>271</v>
      </c>
      <c r="I288" s="38">
        <v>15</v>
      </c>
      <c r="J288" s="38">
        <v>20</v>
      </c>
      <c r="K288" s="38">
        <v>310</v>
      </c>
    </row>
    <row r="289" spans="1:11" x14ac:dyDescent="0.25">
      <c r="A289" s="4">
        <v>45692.655706018515</v>
      </c>
      <c r="B289" s="3" t="s">
        <v>15</v>
      </c>
      <c r="C289" s="60" t="s">
        <v>54</v>
      </c>
      <c r="D289" s="3" t="s">
        <v>414</v>
      </c>
      <c r="E289" s="43"/>
      <c r="F289" s="41" t="s">
        <v>25</v>
      </c>
      <c r="G289" s="48"/>
      <c r="H289" s="38">
        <v>38</v>
      </c>
      <c r="I289" s="38">
        <v>2</v>
      </c>
      <c r="J289" s="38">
        <v>20</v>
      </c>
      <c r="K289" s="38">
        <v>38</v>
      </c>
    </row>
    <row r="290" spans="1:11" x14ac:dyDescent="0.25">
      <c r="A290" s="4">
        <v>45692.655706018515</v>
      </c>
      <c r="B290" s="3" t="s">
        <v>15</v>
      </c>
      <c r="C290" s="60" t="s">
        <v>54</v>
      </c>
      <c r="D290" s="3" t="s">
        <v>415</v>
      </c>
      <c r="E290" s="43"/>
      <c r="F290" s="41" t="s">
        <v>25</v>
      </c>
      <c r="G290" s="48"/>
      <c r="H290" s="38">
        <v>59</v>
      </c>
      <c r="I290" s="38">
        <v>0</v>
      </c>
      <c r="J290" s="38">
        <v>20</v>
      </c>
      <c r="K290" s="38">
        <v>88</v>
      </c>
    </row>
    <row r="291" spans="1:11" x14ac:dyDescent="0.25">
      <c r="A291" s="4">
        <v>45691.774641203701</v>
      </c>
      <c r="B291" s="3" t="s">
        <v>17</v>
      </c>
      <c r="C291" s="63" t="s">
        <v>18</v>
      </c>
      <c r="D291" s="3" t="s">
        <v>161</v>
      </c>
      <c r="E291" s="43"/>
      <c r="F291" s="41" t="s">
        <v>25</v>
      </c>
      <c r="G291" s="48"/>
      <c r="H291" s="38">
        <v>83</v>
      </c>
      <c r="I291" s="38">
        <v>0</v>
      </c>
      <c r="J291" s="38">
        <v>20</v>
      </c>
      <c r="K291" s="38">
        <v>103</v>
      </c>
    </row>
    <row r="292" spans="1:11" x14ac:dyDescent="0.25">
      <c r="A292" s="4">
        <v>45691.769849537035</v>
      </c>
      <c r="B292" s="3" t="s">
        <v>158</v>
      </c>
      <c r="C292" s="63" t="s">
        <v>159</v>
      </c>
      <c r="D292" s="3" t="s">
        <v>160</v>
      </c>
      <c r="E292" s="43"/>
      <c r="F292" s="41" t="s">
        <v>25</v>
      </c>
      <c r="G292" s="48"/>
      <c r="H292" s="38">
        <v>368</v>
      </c>
      <c r="I292" s="38">
        <v>54</v>
      </c>
      <c r="J292" s="38">
        <v>25</v>
      </c>
      <c r="K292" s="38">
        <v>347</v>
      </c>
    </row>
    <row r="293" spans="1:11" x14ac:dyDescent="0.25">
      <c r="A293" s="4">
        <v>45691.76761574074</v>
      </c>
      <c r="B293" s="3" t="s">
        <v>70</v>
      </c>
      <c r="C293" s="63" t="s">
        <v>156</v>
      </c>
      <c r="D293" s="3" t="s">
        <v>157</v>
      </c>
      <c r="E293" s="43"/>
      <c r="F293" s="41" t="s">
        <v>25</v>
      </c>
      <c r="G293" s="48"/>
      <c r="H293" s="38">
        <v>80</v>
      </c>
      <c r="I293" s="38">
        <v>0</v>
      </c>
      <c r="J293" s="38">
        <v>20</v>
      </c>
      <c r="K293" s="38">
        <v>105</v>
      </c>
    </row>
    <row r="294" spans="1:11" x14ac:dyDescent="0.25">
      <c r="A294" s="4" t="s">
        <v>153</v>
      </c>
      <c r="B294" s="3" t="s">
        <v>418</v>
      </c>
      <c r="C294" s="63" t="s">
        <v>176</v>
      </c>
      <c r="D294" s="3" t="s">
        <v>154</v>
      </c>
      <c r="E294" s="43"/>
      <c r="F294" s="41" t="s">
        <v>25</v>
      </c>
      <c r="G294" s="48"/>
      <c r="H294" s="38">
        <v>96</v>
      </c>
      <c r="I294" s="38">
        <v>0</v>
      </c>
      <c r="J294" s="38">
        <v>20</v>
      </c>
      <c r="K294" s="38">
        <v>130</v>
      </c>
    </row>
    <row r="295" spans="1:11" x14ac:dyDescent="0.25">
      <c r="A295" s="4" t="s">
        <v>151</v>
      </c>
      <c r="B295" s="3" t="s">
        <v>152</v>
      </c>
      <c r="C295" s="63" t="s">
        <v>149</v>
      </c>
      <c r="D295" s="3" t="s">
        <v>150</v>
      </c>
      <c r="E295" s="43"/>
      <c r="F295" s="41" t="s">
        <v>162</v>
      </c>
      <c r="G295" s="48"/>
      <c r="H295" s="38">
        <v>73</v>
      </c>
      <c r="I295" s="38">
        <v>0</v>
      </c>
      <c r="J295" s="38">
        <v>20</v>
      </c>
      <c r="K295" s="38">
        <v>95</v>
      </c>
    </row>
    <row r="296" spans="1:11" x14ac:dyDescent="0.25">
      <c r="A296" s="4" t="s">
        <v>148</v>
      </c>
      <c r="B296" s="3" t="s">
        <v>70</v>
      </c>
      <c r="C296" s="63" t="s">
        <v>425</v>
      </c>
      <c r="D296" s="3" t="s">
        <v>147</v>
      </c>
      <c r="E296" s="43"/>
      <c r="F296" s="41" t="s">
        <v>25</v>
      </c>
      <c r="G296" s="48"/>
      <c r="H296" s="38">
        <v>99</v>
      </c>
      <c r="I296" s="38">
        <v>0</v>
      </c>
      <c r="J296" s="38">
        <v>20</v>
      </c>
      <c r="K296" s="38">
        <v>130</v>
      </c>
    </row>
    <row r="297" spans="1:11" x14ac:dyDescent="0.25">
      <c r="A297" s="4" t="s">
        <v>146</v>
      </c>
      <c r="B297" s="3" t="s">
        <v>246</v>
      </c>
      <c r="C297" s="63" t="s">
        <v>424</v>
      </c>
      <c r="D297" s="3" t="s">
        <v>145</v>
      </c>
      <c r="E297" s="43"/>
      <c r="F297" s="41" t="s">
        <v>25</v>
      </c>
      <c r="G297" s="48"/>
      <c r="H297" s="38">
        <v>70</v>
      </c>
      <c r="I297" s="38">
        <v>0</v>
      </c>
      <c r="J297" s="38">
        <v>20</v>
      </c>
      <c r="K297" s="38">
        <v>120</v>
      </c>
    </row>
    <row r="298" spans="1:11" x14ac:dyDescent="0.25">
      <c r="A298" s="4" t="s">
        <v>144</v>
      </c>
      <c r="B298" s="3" t="s">
        <v>142</v>
      </c>
      <c r="C298" s="63">
        <v>42</v>
      </c>
      <c r="D298" s="3" t="s">
        <v>143</v>
      </c>
      <c r="E298" s="43"/>
      <c r="F298" s="41" t="s">
        <v>14</v>
      </c>
      <c r="G298" s="48"/>
      <c r="H298" s="38">
        <v>72</v>
      </c>
      <c r="I298" s="38">
        <v>0</v>
      </c>
      <c r="J298" s="38">
        <v>20</v>
      </c>
      <c r="K298" s="38">
        <v>92</v>
      </c>
    </row>
    <row r="299" spans="1:11" x14ac:dyDescent="0.25">
      <c r="A299" s="4" t="s">
        <v>140</v>
      </c>
      <c r="B299" s="3" t="s">
        <v>15</v>
      </c>
      <c r="C299" s="60" t="s">
        <v>54</v>
      </c>
      <c r="D299" s="3" t="s">
        <v>139</v>
      </c>
      <c r="E299" s="43"/>
      <c r="F299" s="41" t="s">
        <v>14</v>
      </c>
      <c r="G299" s="48"/>
      <c r="H299" s="38">
        <v>86</v>
      </c>
      <c r="I299" s="38">
        <v>0</v>
      </c>
      <c r="J299" s="38">
        <v>20</v>
      </c>
      <c r="K299" s="38">
        <v>103</v>
      </c>
    </row>
    <row r="300" spans="1:11" x14ac:dyDescent="0.25">
      <c r="A300" s="4" t="s">
        <v>138</v>
      </c>
      <c r="B300" s="3" t="s">
        <v>136</v>
      </c>
      <c r="C300" s="63" t="s">
        <v>20</v>
      </c>
      <c r="D300" s="3" t="s">
        <v>137</v>
      </c>
      <c r="E300" s="43"/>
      <c r="F300" s="41" t="s">
        <v>25</v>
      </c>
      <c r="G300" s="48"/>
      <c r="H300" s="38">
        <v>47</v>
      </c>
      <c r="I300" s="38">
        <v>0</v>
      </c>
      <c r="J300" s="38">
        <v>20</v>
      </c>
      <c r="K300" s="38">
        <v>67</v>
      </c>
    </row>
    <row r="301" spans="1:11" x14ac:dyDescent="0.25">
      <c r="A301" s="4" t="s">
        <v>134</v>
      </c>
      <c r="B301" s="3" t="s">
        <v>132</v>
      </c>
      <c r="C301" s="60" t="s">
        <v>133</v>
      </c>
      <c r="D301" s="3" t="s">
        <v>135</v>
      </c>
      <c r="E301" s="43"/>
      <c r="F301" s="41" t="s">
        <v>25</v>
      </c>
      <c r="G301" s="48"/>
      <c r="H301" s="38">
        <v>60</v>
      </c>
      <c r="I301" s="38">
        <v>5</v>
      </c>
      <c r="J301" s="38">
        <v>45</v>
      </c>
      <c r="K301" s="38">
        <v>105</v>
      </c>
    </row>
    <row r="302" spans="1:11" x14ac:dyDescent="0.25">
      <c r="A302" s="4" t="s">
        <v>131</v>
      </c>
      <c r="B302" s="3" t="s">
        <v>128</v>
      </c>
      <c r="C302" s="63" t="s">
        <v>129</v>
      </c>
      <c r="D302" s="3" t="s">
        <v>130</v>
      </c>
      <c r="E302" s="43"/>
      <c r="F302" s="41" t="s">
        <v>14</v>
      </c>
      <c r="G302" s="48"/>
      <c r="H302" s="38">
        <v>90</v>
      </c>
      <c r="I302" s="38">
        <v>0</v>
      </c>
      <c r="J302" s="38">
        <v>20</v>
      </c>
      <c r="K302" s="38">
        <v>110</v>
      </c>
    </row>
    <row r="303" spans="1:11" x14ac:dyDescent="0.25">
      <c r="A303" s="4" t="s">
        <v>126</v>
      </c>
      <c r="B303" s="3" t="s">
        <v>101</v>
      </c>
      <c r="C303" s="63" t="s">
        <v>124</v>
      </c>
      <c r="D303" s="3" t="s">
        <v>125</v>
      </c>
      <c r="E303" s="43"/>
      <c r="F303" s="41" t="s">
        <v>25</v>
      </c>
      <c r="G303" s="48"/>
      <c r="H303" s="38">
        <v>0</v>
      </c>
      <c r="I303" s="38">
        <v>0</v>
      </c>
      <c r="J303" s="38">
        <v>0</v>
      </c>
      <c r="K303" s="38">
        <v>0</v>
      </c>
    </row>
    <row r="304" spans="1:11" x14ac:dyDescent="0.25">
      <c r="A304" s="4" t="s">
        <v>123</v>
      </c>
      <c r="B304" s="3" t="s">
        <v>120</v>
      </c>
      <c r="C304" s="63" t="s">
        <v>121</v>
      </c>
      <c r="D304" s="3" t="s">
        <v>122</v>
      </c>
      <c r="E304" s="43"/>
      <c r="F304" s="41" t="s">
        <v>25</v>
      </c>
      <c r="G304" s="48"/>
      <c r="H304" s="38">
        <v>65</v>
      </c>
      <c r="I304" s="38">
        <v>0</v>
      </c>
      <c r="J304" s="38">
        <v>20</v>
      </c>
      <c r="K304" s="38">
        <v>90</v>
      </c>
    </row>
    <row r="305" spans="1:11" x14ac:dyDescent="0.25">
      <c r="A305" s="4" t="s">
        <v>119</v>
      </c>
      <c r="B305" s="3" t="s">
        <v>418</v>
      </c>
      <c r="C305" s="63" t="s">
        <v>176</v>
      </c>
      <c r="D305" s="3" t="s">
        <v>118</v>
      </c>
      <c r="E305" s="43"/>
      <c r="F305" s="41" t="s">
        <v>25</v>
      </c>
      <c r="G305" s="48"/>
      <c r="H305" s="38">
        <v>73</v>
      </c>
      <c r="I305" s="38">
        <v>0</v>
      </c>
      <c r="J305" s="38">
        <v>25</v>
      </c>
      <c r="K305" s="38">
        <v>73</v>
      </c>
    </row>
    <row r="306" spans="1:11" x14ac:dyDescent="0.25">
      <c r="A306" s="4" t="s">
        <v>117</v>
      </c>
      <c r="B306" s="3" t="s">
        <v>114</v>
      </c>
      <c r="C306" s="63" t="s">
        <v>115</v>
      </c>
      <c r="D306" s="3" t="s">
        <v>116</v>
      </c>
      <c r="E306" s="43"/>
      <c r="F306" s="41" t="s">
        <v>25</v>
      </c>
      <c r="G306" s="48"/>
      <c r="H306" s="38">
        <v>51</v>
      </c>
      <c r="I306" s="38">
        <v>0</v>
      </c>
      <c r="J306" s="38">
        <v>20</v>
      </c>
      <c r="K306" s="38">
        <v>80</v>
      </c>
    </row>
    <row r="307" spans="1:11" x14ac:dyDescent="0.25">
      <c r="A307" s="4" t="s">
        <v>113</v>
      </c>
      <c r="B307" s="3" t="s">
        <v>422</v>
      </c>
      <c r="C307" s="63" t="s">
        <v>421</v>
      </c>
      <c r="D307" s="3" t="s">
        <v>112</v>
      </c>
      <c r="E307" s="43"/>
      <c r="F307" s="41" t="s">
        <v>25</v>
      </c>
      <c r="G307" s="48"/>
      <c r="H307" s="38">
        <v>162</v>
      </c>
      <c r="I307" s="38">
        <v>0</v>
      </c>
      <c r="J307" s="38">
        <v>20</v>
      </c>
      <c r="K307" s="38">
        <v>200</v>
      </c>
    </row>
    <row r="308" spans="1:11" x14ac:dyDescent="0.25">
      <c r="A308" s="4" t="s">
        <v>111</v>
      </c>
      <c r="B308" s="3" t="s">
        <v>252</v>
      </c>
      <c r="C308" s="63" t="s">
        <v>109</v>
      </c>
      <c r="D308" s="3" t="s">
        <v>110</v>
      </c>
      <c r="E308" s="43"/>
      <c r="F308" s="41" t="s">
        <v>25</v>
      </c>
      <c r="G308" s="48"/>
      <c r="H308" s="38">
        <v>55</v>
      </c>
      <c r="I308" s="38">
        <v>0</v>
      </c>
      <c r="J308" s="38">
        <v>20</v>
      </c>
      <c r="K308" s="38">
        <v>75</v>
      </c>
    </row>
    <row r="309" spans="1:11" x14ac:dyDescent="0.25">
      <c r="A309" s="4" t="s">
        <v>107</v>
      </c>
      <c r="B309" s="3" t="s">
        <v>70</v>
      </c>
      <c r="C309" s="63" t="s">
        <v>105</v>
      </c>
      <c r="D309" s="3" t="s">
        <v>106</v>
      </c>
      <c r="E309" s="43"/>
      <c r="F309" s="41" t="s">
        <v>25</v>
      </c>
      <c r="G309" s="48"/>
      <c r="H309" s="38">
        <v>286</v>
      </c>
      <c r="I309" s="38">
        <v>0</v>
      </c>
      <c r="J309" s="38">
        <v>34</v>
      </c>
      <c r="K309" s="38">
        <v>320</v>
      </c>
    </row>
    <row r="310" spans="1:11" x14ac:dyDescent="0.25">
      <c r="A310" s="4" t="s">
        <v>104</v>
      </c>
      <c r="B310" s="3" t="s">
        <v>101</v>
      </c>
      <c r="C310" s="63" t="s">
        <v>102</v>
      </c>
      <c r="D310" s="3" t="s">
        <v>103</v>
      </c>
      <c r="E310" s="43"/>
      <c r="F310" s="41" t="s">
        <v>25</v>
      </c>
      <c r="G310" s="48"/>
      <c r="H310" s="38">
        <v>279</v>
      </c>
      <c r="I310" s="38">
        <v>10</v>
      </c>
      <c r="J310" s="38">
        <v>51</v>
      </c>
      <c r="K310" s="38">
        <v>330</v>
      </c>
    </row>
    <row r="311" spans="1:11" x14ac:dyDescent="0.25">
      <c r="A311" s="4" t="s">
        <v>73</v>
      </c>
      <c r="B311" s="3" t="s">
        <v>70</v>
      </c>
      <c r="C311" s="63" t="s">
        <v>71</v>
      </c>
      <c r="D311" s="3" t="s">
        <v>72</v>
      </c>
      <c r="E311" s="43"/>
      <c r="F311" s="41" t="s">
        <v>25</v>
      </c>
      <c r="G311" s="48"/>
      <c r="H311" s="38">
        <v>109</v>
      </c>
      <c r="I311" s="38">
        <v>0</v>
      </c>
      <c r="J311" s="38">
        <v>41</v>
      </c>
      <c r="K311" s="38">
        <v>150</v>
      </c>
    </row>
    <row r="312" spans="1:11" x14ac:dyDescent="0.25">
      <c r="A312" s="4" t="s">
        <v>56</v>
      </c>
      <c r="B312" s="3" t="s">
        <v>15</v>
      </c>
      <c r="C312" s="60" t="s">
        <v>54</v>
      </c>
      <c r="D312" s="3" t="s">
        <v>55</v>
      </c>
      <c r="E312" s="43"/>
      <c r="F312" s="41" t="s">
        <v>25</v>
      </c>
      <c r="G312" s="48"/>
      <c r="H312" s="38">
        <v>186</v>
      </c>
      <c r="I312" s="38">
        <v>50</v>
      </c>
      <c r="J312" s="38">
        <v>36</v>
      </c>
      <c r="K312" s="38">
        <v>270</v>
      </c>
    </row>
    <row r="313" spans="1:11" x14ac:dyDescent="0.25">
      <c r="A313" s="4" t="s">
        <v>41</v>
      </c>
      <c r="B313" s="3" t="s">
        <v>418</v>
      </c>
      <c r="C313" s="63" t="s">
        <v>176</v>
      </c>
      <c r="D313" s="3" t="s">
        <v>40</v>
      </c>
      <c r="E313" s="43"/>
      <c r="F313" s="41" t="s">
        <v>25</v>
      </c>
      <c r="G313" s="48"/>
      <c r="H313" s="38">
        <v>156</v>
      </c>
      <c r="I313" s="38">
        <v>0</v>
      </c>
      <c r="J313" s="38">
        <v>24</v>
      </c>
      <c r="K313" s="38">
        <v>180</v>
      </c>
    </row>
    <row r="314" spans="1:11" x14ac:dyDescent="0.25">
      <c r="A314" s="4" t="s">
        <v>38</v>
      </c>
      <c r="B314" s="3" t="s">
        <v>36</v>
      </c>
      <c r="C314" s="63" t="s">
        <v>37</v>
      </c>
      <c r="D314" s="3" t="s">
        <v>42</v>
      </c>
      <c r="E314" s="43"/>
      <c r="F314" s="41" t="s">
        <v>25</v>
      </c>
      <c r="G314" s="48"/>
      <c r="H314" s="38">
        <v>160</v>
      </c>
      <c r="I314" s="38">
        <v>0</v>
      </c>
      <c r="J314" s="38">
        <v>20</v>
      </c>
      <c r="K314" s="38">
        <v>180</v>
      </c>
    </row>
    <row r="315" spans="1:11" x14ac:dyDescent="0.25">
      <c r="A315" s="4" t="s">
        <v>35</v>
      </c>
      <c r="B315" s="3" t="s">
        <v>246</v>
      </c>
      <c r="C315" s="63" t="s">
        <v>424</v>
      </c>
      <c r="D315" s="3" t="s">
        <v>34</v>
      </c>
      <c r="E315" s="43"/>
      <c r="F315" s="41" t="s">
        <v>25</v>
      </c>
      <c r="G315" s="48"/>
      <c r="H315" s="38">
        <v>77</v>
      </c>
      <c r="I315" s="38">
        <v>0</v>
      </c>
      <c r="J315" s="38">
        <v>20</v>
      </c>
      <c r="K315" s="38">
        <v>100</v>
      </c>
    </row>
    <row r="316" spans="1:11" x14ac:dyDescent="0.25">
      <c r="A316" s="4" t="s">
        <v>32</v>
      </c>
      <c r="B316" s="3" t="s">
        <v>29</v>
      </c>
      <c r="C316" s="63" t="s">
        <v>30</v>
      </c>
      <c r="D316" s="3" t="s">
        <v>31</v>
      </c>
      <c r="E316" s="43"/>
      <c r="F316" s="41" t="s">
        <v>14</v>
      </c>
      <c r="G316" s="48"/>
      <c r="H316" s="38">
        <v>268</v>
      </c>
      <c r="I316" s="38">
        <v>0</v>
      </c>
      <c r="J316" s="38">
        <v>20</v>
      </c>
      <c r="K316" s="38">
        <v>290</v>
      </c>
    </row>
    <row r="317" spans="1:11" x14ac:dyDescent="0.25">
      <c r="A317" s="4" t="s">
        <v>28</v>
      </c>
      <c r="B317" s="3" t="s">
        <v>70</v>
      </c>
      <c r="C317" s="60" t="s">
        <v>26</v>
      </c>
      <c r="D317" s="3" t="s">
        <v>27</v>
      </c>
      <c r="E317" s="43"/>
      <c r="F317" s="41" t="s">
        <v>25</v>
      </c>
      <c r="G317" s="48"/>
      <c r="H317" s="38">
        <v>258</v>
      </c>
      <c r="I317" s="38">
        <v>0</v>
      </c>
      <c r="J317" s="38">
        <v>45</v>
      </c>
      <c r="K317" s="38">
        <v>303</v>
      </c>
    </row>
    <row r="318" spans="1:11" x14ac:dyDescent="0.25">
      <c r="A318" s="4">
        <v>45839.935624999998</v>
      </c>
      <c r="B318" s="3" t="s">
        <v>22</v>
      </c>
      <c r="C318" s="63" t="s">
        <v>23</v>
      </c>
      <c r="D318" s="3" t="s">
        <v>24</v>
      </c>
      <c r="E318" s="43"/>
      <c r="F318" s="42" t="s">
        <v>25</v>
      </c>
      <c r="G318" s="81"/>
      <c r="H318" s="39">
        <v>44</v>
      </c>
      <c r="I318" s="39">
        <v>0</v>
      </c>
      <c r="J318" s="39">
        <v>20</v>
      </c>
      <c r="K318" s="39">
        <v>64</v>
      </c>
    </row>
    <row r="319" spans="1:11" x14ac:dyDescent="0.25">
      <c r="A319" s="4">
        <v>45839.935162037036</v>
      </c>
      <c r="B319" s="3" t="s">
        <v>136</v>
      </c>
      <c r="C319" s="60" t="s">
        <v>20</v>
      </c>
      <c r="D319" s="3" t="s">
        <v>21</v>
      </c>
      <c r="E319" s="43"/>
      <c r="F319" t="s">
        <v>25</v>
      </c>
      <c r="H319">
        <v>220</v>
      </c>
      <c r="I319">
        <v>0</v>
      </c>
      <c r="J319">
        <v>40</v>
      </c>
      <c r="K319">
        <v>260</v>
      </c>
    </row>
    <row r="320" spans="1:11" x14ac:dyDescent="0.25">
      <c r="A320" s="4">
        <v>45839.933935185189</v>
      </c>
      <c r="B320" s="3" t="s">
        <v>17</v>
      </c>
      <c r="C320" s="63" t="s">
        <v>18</v>
      </c>
      <c r="D320" s="3" t="s">
        <v>19</v>
      </c>
      <c r="E320" s="43"/>
      <c r="F320" t="s">
        <v>25</v>
      </c>
      <c r="H320">
        <v>17</v>
      </c>
      <c r="I320">
        <v>4</v>
      </c>
      <c r="J320">
        <v>20</v>
      </c>
      <c r="K320">
        <v>41</v>
      </c>
    </row>
    <row r="321" spans="1:11" x14ac:dyDescent="0.25">
      <c r="A321" s="4">
        <v>45664.933530092596</v>
      </c>
      <c r="B321" s="3" t="s">
        <v>15</v>
      </c>
      <c r="C321" s="60" t="s">
        <v>54</v>
      </c>
      <c r="D321" s="3" t="s">
        <v>16</v>
      </c>
      <c r="E321" s="43"/>
      <c r="F321" t="s">
        <v>25</v>
      </c>
      <c r="H321">
        <v>308</v>
      </c>
      <c r="I321">
        <v>0</v>
      </c>
      <c r="J321">
        <v>40</v>
      </c>
      <c r="K321">
        <v>348</v>
      </c>
    </row>
    <row r="322" spans="1:11" x14ac:dyDescent="0.25">
      <c r="A322" s="4">
        <v>45809.842407407406</v>
      </c>
      <c r="B322" s="3" t="s">
        <v>11</v>
      </c>
      <c r="C322" s="63" t="s">
        <v>12</v>
      </c>
      <c r="D322" s="3" t="s">
        <v>13</v>
      </c>
      <c r="E322" s="43"/>
      <c r="F322" t="s">
        <v>33</v>
      </c>
      <c r="H322">
        <v>84</v>
      </c>
      <c r="I322">
        <v>10</v>
      </c>
      <c r="J322">
        <v>15</v>
      </c>
      <c r="K322">
        <v>99</v>
      </c>
    </row>
    <row r="323" spans="1:11" x14ac:dyDescent="0.25">
      <c r="A323" s="1"/>
      <c r="B323" s="1"/>
      <c r="C323" s="1"/>
      <c r="D323" s="1">
        <v>663</v>
      </c>
      <c r="E323" s="1"/>
    </row>
    <row r="324" spans="1:11" x14ac:dyDescent="0.25">
      <c r="A324" s="1"/>
      <c r="B324" s="1"/>
      <c r="C324" s="64"/>
      <c r="D324" s="1"/>
      <c r="E324" s="1"/>
    </row>
    <row r="325" spans="1:11" x14ac:dyDescent="0.25">
      <c r="A325" s="1"/>
      <c r="B325" s="1"/>
      <c r="C325" s="1"/>
      <c r="D325" s="1"/>
      <c r="E325" s="1"/>
    </row>
    <row r="326" spans="1:11" x14ac:dyDescent="0.25">
      <c r="A326" s="1"/>
      <c r="B326" s="1"/>
      <c r="C326" s="1"/>
      <c r="D326" s="1"/>
      <c r="E326" s="1"/>
      <c r="F326" s="1"/>
    </row>
    <row r="327" spans="1:11" x14ac:dyDescent="0.25">
      <c r="A327" s="1"/>
      <c r="B327" s="1"/>
      <c r="C327" s="1"/>
      <c r="D327" s="1"/>
      <c r="E327" s="1"/>
      <c r="F327" s="1"/>
    </row>
    <row r="328" spans="1:11" x14ac:dyDescent="0.25">
      <c r="A328" s="1"/>
      <c r="B328" s="1"/>
      <c r="C328" s="1"/>
      <c r="D328" s="1"/>
      <c r="E328" s="1"/>
      <c r="F328" s="1"/>
    </row>
    <row r="329" spans="1:11" x14ac:dyDescent="0.25">
      <c r="A329" s="1"/>
      <c r="B329" s="1"/>
      <c r="C329" s="1"/>
      <c r="D329" s="1"/>
      <c r="E329" s="1"/>
      <c r="F329" s="1"/>
    </row>
    <row r="330" spans="1:11" x14ac:dyDescent="0.25">
      <c r="A330" s="1"/>
      <c r="B330" s="1"/>
      <c r="C330" s="1"/>
      <c r="D330" s="1"/>
      <c r="E330" s="1"/>
      <c r="F330" s="1"/>
    </row>
    <row r="331" spans="1:11" x14ac:dyDescent="0.25">
      <c r="A331" s="1"/>
      <c r="B331" s="1"/>
      <c r="C331" s="1"/>
      <c r="D331" s="1"/>
      <c r="E331" s="1"/>
      <c r="F331" s="1"/>
    </row>
    <row r="332" spans="1:11" x14ac:dyDescent="0.25">
      <c r="A332" s="1"/>
      <c r="B332" s="1"/>
      <c r="C332" s="1"/>
      <c r="D332" s="1"/>
      <c r="E332" s="1"/>
      <c r="F332" s="1"/>
    </row>
    <row r="333" spans="1:11" x14ac:dyDescent="0.25">
      <c r="A333" s="1"/>
      <c r="B333" s="1"/>
      <c r="C333" s="1"/>
      <c r="D333" s="1"/>
      <c r="E333" s="1"/>
      <c r="F333" s="1"/>
    </row>
    <row r="334" spans="1:11" x14ac:dyDescent="0.25">
      <c r="A334" s="1"/>
      <c r="B334" s="1"/>
      <c r="C334" s="1"/>
      <c r="D334" s="1"/>
      <c r="E334" s="1"/>
      <c r="F334" s="1"/>
    </row>
    <row r="335" spans="1:11" x14ac:dyDescent="0.25">
      <c r="A335" s="1"/>
      <c r="B335" s="1"/>
      <c r="C335" s="1"/>
      <c r="D335" s="1"/>
      <c r="E335" s="1"/>
      <c r="F335" s="1"/>
    </row>
    <row r="336" spans="1:11" x14ac:dyDescent="0.25">
      <c r="A336" s="1"/>
      <c r="B336" s="1"/>
      <c r="C336" s="1"/>
      <c r="D336" s="1"/>
      <c r="E336" s="1"/>
      <c r="F336" s="1"/>
    </row>
    <row r="337" spans="1:6" x14ac:dyDescent="0.25">
      <c r="A337" s="1"/>
      <c r="B337" s="1"/>
      <c r="C337" s="1"/>
      <c r="D337" s="1"/>
      <c r="E337" s="1"/>
      <c r="F337" s="1"/>
    </row>
    <row r="338" spans="1:6" x14ac:dyDescent="0.25">
      <c r="A338" s="1"/>
      <c r="B338" s="1"/>
      <c r="C338" s="1"/>
      <c r="D338" s="1"/>
      <c r="E338" s="1"/>
      <c r="F338" s="1"/>
    </row>
    <row r="339" spans="1:6" x14ac:dyDescent="0.25">
      <c r="A339" s="1"/>
      <c r="B339" s="1"/>
      <c r="C339" s="1"/>
      <c r="D339" s="1"/>
      <c r="E339" s="1"/>
      <c r="F339" s="1"/>
    </row>
    <row r="340" spans="1:6" x14ac:dyDescent="0.25">
      <c r="A340" s="1"/>
      <c r="B340" s="1"/>
      <c r="C340" s="1"/>
      <c r="D340" s="1"/>
      <c r="E340" s="1"/>
      <c r="F340" s="1"/>
    </row>
    <row r="341" spans="1:6" x14ac:dyDescent="0.25">
      <c r="A341" s="1"/>
      <c r="B341" s="1"/>
      <c r="C341" s="1"/>
      <c r="D341" s="1"/>
      <c r="E341" s="1"/>
      <c r="F341" s="1"/>
    </row>
    <row r="342" spans="1:6" x14ac:dyDescent="0.25">
      <c r="A342" s="1"/>
      <c r="B342" s="1"/>
      <c r="C342" s="1"/>
      <c r="D342" s="1"/>
      <c r="E342" s="1"/>
      <c r="F342" s="1"/>
    </row>
    <row r="343" spans="1:6" x14ac:dyDescent="0.25">
      <c r="A343" s="1"/>
      <c r="B343" s="1"/>
      <c r="C343" s="1"/>
      <c r="D343" s="1"/>
      <c r="E343" s="1"/>
      <c r="F343" s="1"/>
    </row>
    <row r="344" spans="1:6" x14ac:dyDescent="0.25">
      <c r="A344" s="1"/>
      <c r="B344" s="1"/>
      <c r="C344" s="1"/>
      <c r="D344" s="1"/>
      <c r="E344" s="1"/>
      <c r="F344" s="1"/>
    </row>
    <row r="345" spans="1:6" x14ac:dyDescent="0.25">
      <c r="A345" s="1"/>
      <c r="B345" s="1"/>
      <c r="C345" s="1"/>
      <c r="D345" s="1"/>
      <c r="E345" s="1"/>
      <c r="F345" s="1"/>
    </row>
    <row r="346" spans="1:6" x14ac:dyDescent="0.25">
      <c r="A346" s="1"/>
      <c r="B346" s="1"/>
      <c r="C346" s="1"/>
      <c r="D346" s="1"/>
      <c r="E346" s="1"/>
      <c r="F346" s="1"/>
    </row>
    <row r="347" spans="1:6" x14ac:dyDescent="0.25">
      <c r="A347" s="1"/>
      <c r="B347" s="1"/>
      <c r="C347" s="1"/>
      <c r="D347" s="1"/>
      <c r="E347" s="1"/>
      <c r="F347" s="1"/>
    </row>
    <row r="348" spans="1:6" x14ac:dyDescent="0.25">
      <c r="A348" s="1"/>
      <c r="B348" s="1"/>
      <c r="C348" s="1"/>
      <c r="D348" s="1"/>
      <c r="E348" s="1"/>
      <c r="F348" s="1"/>
    </row>
    <row r="349" spans="1:6" x14ac:dyDescent="0.25">
      <c r="A349" s="1"/>
      <c r="B349" s="1"/>
      <c r="C349" s="1"/>
      <c r="D349" s="1"/>
      <c r="E349" s="1"/>
      <c r="F349" s="1"/>
    </row>
    <row r="350" spans="1:6" x14ac:dyDescent="0.25">
      <c r="A350" s="1"/>
      <c r="B350" s="1"/>
      <c r="C350" s="1"/>
      <c r="D350" s="1"/>
      <c r="E350" s="1"/>
      <c r="F350" s="1"/>
    </row>
    <row r="351" spans="1:6" x14ac:dyDescent="0.25">
      <c r="A351" s="1"/>
      <c r="B351" s="1"/>
      <c r="C351" s="1"/>
      <c r="D351" s="1"/>
      <c r="E351" s="1"/>
      <c r="F351" s="1"/>
    </row>
    <row r="352" spans="1:6" x14ac:dyDescent="0.25">
      <c r="A352" s="1"/>
      <c r="B352" s="1"/>
      <c r="C352" s="1"/>
      <c r="D352" s="1"/>
      <c r="E352" s="1"/>
      <c r="F352" s="1"/>
    </row>
    <row r="353" spans="1:6" x14ac:dyDescent="0.25">
      <c r="A353" s="1"/>
      <c r="B353" s="1"/>
      <c r="C353" s="1"/>
      <c r="D353" s="1"/>
      <c r="E353" s="1"/>
      <c r="F353" s="1"/>
    </row>
    <row r="354" spans="1:6" x14ac:dyDescent="0.25">
      <c r="A354" s="1"/>
      <c r="B354" s="1"/>
      <c r="C354" s="1"/>
      <c r="D354" s="1"/>
      <c r="E354" s="1"/>
      <c r="F354" s="1"/>
    </row>
    <row r="355" spans="1:6" x14ac:dyDescent="0.25">
      <c r="A355" s="1"/>
      <c r="B355" s="1"/>
      <c r="C355" s="1"/>
      <c r="D355" s="1"/>
      <c r="E355" s="1"/>
      <c r="F355" s="1"/>
    </row>
    <row r="356" spans="1:6" x14ac:dyDescent="0.25">
      <c r="A356" s="1"/>
      <c r="B356" s="1"/>
      <c r="C356" s="1"/>
      <c r="D356" s="1"/>
      <c r="E356" s="1"/>
      <c r="F356" s="1"/>
    </row>
    <row r="357" spans="1:6" x14ac:dyDescent="0.25">
      <c r="A357" s="1"/>
      <c r="B357" s="1"/>
      <c r="C357" s="1"/>
      <c r="D357" s="1"/>
      <c r="E357" s="1"/>
      <c r="F357" s="1"/>
    </row>
    <row r="358" spans="1:6" x14ac:dyDescent="0.25">
      <c r="A358" s="1"/>
      <c r="B358" s="1"/>
      <c r="C358" s="1"/>
      <c r="D358" s="1"/>
      <c r="E358" s="1"/>
      <c r="F358" s="1"/>
    </row>
    <row r="359" spans="1:6" x14ac:dyDescent="0.25">
      <c r="A359" s="1"/>
      <c r="B359" s="1"/>
      <c r="C359" s="1"/>
      <c r="D359" s="1"/>
      <c r="E359" s="1"/>
      <c r="F359" s="1"/>
    </row>
    <row r="360" spans="1:6" x14ac:dyDescent="0.25">
      <c r="A360" s="1"/>
      <c r="B360" s="1"/>
      <c r="C360" s="1"/>
      <c r="D360" s="1"/>
      <c r="E360" s="1"/>
      <c r="F360" s="1"/>
    </row>
    <row r="361" spans="1:6" x14ac:dyDescent="0.25">
      <c r="A361" s="1"/>
      <c r="B361" s="1"/>
      <c r="C361" s="1"/>
      <c r="D361" s="1"/>
      <c r="E361" s="1"/>
      <c r="F361" s="1"/>
    </row>
    <row r="362" spans="1:6" x14ac:dyDescent="0.25">
      <c r="A362" s="1"/>
      <c r="B362" s="1"/>
      <c r="C362" s="1"/>
      <c r="D362" s="1"/>
      <c r="E362" s="1"/>
      <c r="F362" s="1"/>
    </row>
    <row r="363" spans="1:6" x14ac:dyDescent="0.25">
      <c r="A363" s="1"/>
      <c r="B363" s="1"/>
      <c r="C363" s="1"/>
      <c r="D363" s="1"/>
      <c r="E363" s="1"/>
      <c r="F363" s="1"/>
    </row>
    <row r="364" spans="1:6" x14ac:dyDescent="0.25">
      <c r="A364" s="1"/>
      <c r="B364" s="1"/>
      <c r="C364" s="1"/>
      <c r="D364" s="1"/>
      <c r="E364" s="1"/>
      <c r="F364" s="1"/>
    </row>
    <row r="365" spans="1:6" x14ac:dyDescent="0.25">
      <c r="A365" s="1"/>
      <c r="B365" s="1"/>
      <c r="C365" s="1"/>
      <c r="D365" s="1"/>
      <c r="E365" s="1"/>
      <c r="F365" s="1"/>
    </row>
    <row r="366" spans="1:6" x14ac:dyDescent="0.25">
      <c r="A366" s="1"/>
      <c r="B366" s="1"/>
      <c r="C366" s="1"/>
      <c r="D366" s="1"/>
      <c r="E366" s="1"/>
      <c r="F366" s="1"/>
    </row>
    <row r="367" spans="1:6" x14ac:dyDescent="0.25">
      <c r="A367" s="1"/>
      <c r="B367" s="1"/>
      <c r="C367" s="1"/>
      <c r="D367" s="1"/>
      <c r="E367" s="1"/>
      <c r="F367" s="1"/>
    </row>
    <row r="368" spans="1:6" x14ac:dyDescent="0.25">
      <c r="A368" s="1"/>
      <c r="B368" s="1"/>
      <c r="C368" s="1"/>
      <c r="D368" s="1"/>
      <c r="E368" s="1"/>
      <c r="F368" s="1"/>
    </row>
    <row r="369" spans="1:6" x14ac:dyDescent="0.25">
      <c r="A369" s="1"/>
      <c r="B369" s="1"/>
      <c r="C369" s="1"/>
      <c r="D369" s="1"/>
      <c r="E369" s="1"/>
      <c r="F369" s="1"/>
    </row>
    <row r="370" spans="1:6" x14ac:dyDescent="0.25">
      <c r="A370" s="1"/>
      <c r="B370" s="1"/>
      <c r="C370" s="1"/>
      <c r="D370" s="1"/>
      <c r="E370" s="1"/>
      <c r="F370" s="1"/>
    </row>
    <row r="371" spans="1:6" x14ac:dyDescent="0.25">
      <c r="A371" s="1"/>
      <c r="B371" s="1"/>
      <c r="C371" s="1"/>
      <c r="D371" s="1"/>
      <c r="E371" s="1"/>
      <c r="F371" s="1"/>
    </row>
    <row r="372" spans="1:6" x14ac:dyDescent="0.25">
      <c r="A372" s="1"/>
      <c r="B372" s="1"/>
      <c r="C372" s="1"/>
      <c r="D372" s="1"/>
      <c r="E372" s="1"/>
      <c r="F372" s="1"/>
    </row>
    <row r="373" spans="1:6" x14ac:dyDescent="0.25">
      <c r="A373" s="1"/>
      <c r="B373" s="1"/>
      <c r="C373" s="1"/>
      <c r="D373" s="1"/>
      <c r="E373" s="1"/>
      <c r="F373" s="1"/>
    </row>
    <row r="374" spans="1:6" x14ac:dyDescent="0.25">
      <c r="A374" s="1"/>
      <c r="B374" s="1"/>
      <c r="C374" s="1"/>
      <c r="D374" s="1"/>
      <c r="E374" s="1"/>
      <c r="F374" s="1"/>
    </row>
    <row r="375" spans="1:6" x14ac:dyDescent="0.25">
      <c r="A375" s="1"/>
      <c r="B375" s="1"/>
      <c r="C375" s="1"/>
      <c r="D375" s="1"/>
      <c r="E375" s="1"/>
      <c r="F375" s="1"/>
    </row>
    <row r="376" spans="1:6" x14ac:dyDescent="0.25">
      <c r="A376" s="1"/>
      <c r="B376" s="1"/>
      <c r="C376" s="1"/>
      <c r="D376" s="1"/>
      <c r="E376" s="1"/>
      <c r="F376" s="1"/>
    </row>
    <row r="377" spans="1:6" x14ac:dyDescent="0.25">
      <c r="A377" s="1"/>
      <c r="B377" s="1"/>
      <c r="C377" s="1"/>
      <c r="D377" s="1"/>
      <c r="E377" s="1"/>
      <c r="F377" s="1"/>
    </row>
    <row r="378" spans="1:6" x14ac:dyDescent="0.25">
      <c r="A378" s="1"/>
      <c r="B378" s="1"/>
      <c r="C378" s="1"/>
      <c r="D378" s="1"/>
      <c r="E378" s="1"/>
      <c r="F378" s="1"/>
    </row>
    <row r="379" spans="1:6" x14ac:dyDescent="0.25">
      <c r="A379" s="1"/>
      <c r="B379" s="1"/>
      <c r="C379" s="1"/>
      <c r="D379" s="1"/>
      <c r="E379" s="1"/>
      <c r="F379" s="1"/>
    </row>
    <row r="380" spans="1:6" x14ac:dyDescent="0.25">
      <c r="A380" s="1"/>
      <c r="B380" s="1"/>
      <c r="C380" s="1"/>
      <c r="D380" s="1"/>
      <c r="E380" s="1"/>
      <c r="F380" s="1"/>
    </row>
    <row r="381" spans="1:6" x14ac:dyDescent="0.25">
      <c r="A381" s="1"/>
      <c r="B381" s="1"/>
      <c r="C381" s="1"/>
      <c r="D381" s="1"/>
      <c r="E381" s="1"/>
      <c r="F381" s="1"/>
    </row>
    <row r="382" spans="1:6" x14ac:dyDescent="0.25">
      <c r="A382" s="1"/>
      <c r="B382" s="1"/>
      <c r="C382" s="1"/>
      <c r="D382" s="1"/>
      <c r="E382" s="1"/>
      <c r="F382" s="1"/>
    </row>
    <row r="383" spans="1:6" x14ac:dyDescent="0.25">
      <c r="A383" s="1"/>
      <c r="B383" s="1"/>
      <c r="C383" s="1"/>
      <c r="D383" s="1"/>
      <c r="E383" s="1"/>
      <c r="F383" s="1"/>
    </row>
    <row r="384" spans="1:6" x14ac:dyDescent="0.25">
      <c r="A384" s="1"/>
      <c r="B384" s="1"/>
      <c r="C384" s="1"/>
      <c r="D384" s="1"/>
      <c r="E384" s="1"/>
      <c r="F384" s="1"/>
    </row>
    <row r="385" spans="1:6" x14ac:dyDescent="0.25">
      <c r="A385" s="1"/>
      <c r="B385" s="1"/>
      <c r="C385" s="1"/>
      <c r="D385" s="1"/>
      <c r="E385" s="1"/>
      <c r="F385" s="1"/>
    </row>
    <row r="386" spans="1:6" x14ac:dyDescent="0.25">
      <c r="A386" s="1"/>
      <c r="B386" s="1"/>
      <c r="C386" s="1"/>
      <c r="D386" s="1"/>
      <c r="E386" s="1"/>
      <c r="F386" s="1"/>
    </row>
    <row r="387" spans="1:6" x14ac:dyDescent="0.25">
      <c r="A387" s="1"/>
      <c r="B387" s="1"/>
      <c r="C387" s="1"/>
      <c r="D387" s="1"/>
      <c r="E387" s="1"/>
      <c r="F387" s="1"/>
    </row>
    <row r="388" spans="1:6" x14ac:dyDescent="0.25">
      <c r="A388" s="1"/>
      <c r="B388" s="1"/>
      <c r="C388" s="1"/>
      <c r="D388" s="1"/>
      <c r="E388" s="1"/>
      <c r="F388" s="1"/>
    </row>
    <row r="389" spans="1:6" x14ac:dyDescent="0.25">
      <c r="A389" s="1"/>
      <c r="B389" s="1"/>
      <c r="C389" s="1"/>
      <c r="D389" s="1"/>
      <c r="E389" s="1"/>
      <c r="F389" s="1"/>
    </row>
    <row r="390" spans="1:6" x14ac:dyDescent="0.25">
      <c r="A390" s="1"/>
      <c r="B390" s="1"/>
      <c r="C390" s="1"/>
      <c r="D390" s="1"/>
      <c r="E390" s="1"/>
      <c r="F390" s="1"/>
    </row>
    <row r="391" spans="1:6" x14ac:dyDescent="0.25">
      <c r="A391" s="1"/>
      <c r="B391" s="1"/>
      <c r="C391" s="1"/>
      <c r="D391" s="1"/>
      <c r="E391" s="1"/>
      <c r="F391" s="1"/>
    </row>
    <row r="392" spans="1:6" x14ac:dyDescent="0.25">
      <c r="A392" s="1"/>
      <c r="B392" s="1"/>
      <c r="C392" s="1"/>
      <c r="D392" s="1"/>
      <c r="E392" s="1"/>
      <c r="F392" s="1"/>
    </row>
    <row r="393" spans="1:6" x14ac:dyDescent="0.25">
      <c r="A393" s="1"/>
      <c r="B393" s="1"/>
      <c r="C393" s="1"/>
      <c r="D393" s="1"/>
      <c r="E393" s="1"/>
      <c r="F393" s="1"/>
    </row>
    <row r="394" spans="1:6" x14ac:dyDescent="0.25">
      <c r="A394" s="1"/>
      <c r="B394" s="1"/>
      <c r="C394" s="1"/>
      <c r="D394" s="1"/>
      <c r="E394" s="1"/>
      <c r="F394" s="1"/>
    </row>
    <row r="395" spans="1:6" x14ac:dyDescent="0.25">
      <c r="A395" s="1"/>
      <c r="B395" s="1"/>
      <c r="C395" s="1"/>
      <c r="D395" s="1"/>
      <c r="E395" s="1"/>
      <c r="F395" s="1"/>
    </row>
    <row r="396" spans="1:6" x14ac:dyDescent="0.25">
      <c r="A396" s="1"/>
      <c r="B396" s="1"/>
      <c r="C396" s="1"/>
      <c r="D396" s="1"/>
      <c r="E396" s="1"/>
      <c r="F396" s="1"/>
    </row>
    <row r="397" spans="1:6" x14ac:dyDescent="0.25">
      <c r="A397" s="1"/>
      <c r="B397" s="1"/>
      <c r="C397" s="1"/>
      <c r="D397" s="1"/>
      <c r="E397" s="1"/>
      <c r="F397" s="1"/>
    </row>
    <row r="398" spans="1:6" x14ac:dyDescent="0.25">
      <c r="A398" s="1"/>
      <c r="B398" s="1"/>
      <c r="C398" s="1"/>
      <c r="D398" s="1"/>
      <c r="E398" s="1"/>
      <c r="F398" s="1"/>
    </row>
    <row r="399" spans="1:6" x14ac:dyDescent="0.25">
      <c r="A399" s="1"/>
      <c r="B399" s="1"/>
      <c r="C399" s="1"/>
      <c r="D399" s="1"/>
      <c r="E399" s="1"/>
      <c r="F399" s="1"/>
    </row>
    <row r="400" spans="1:6" x14ac:dyDescent="0.25">
      <c r="A400" s="1"/>
      <c r="B400" s="1"/>
      <c r="C400" s="1"/>
      <c r="D400" s="1"/>
      <c r="E400" s="1"/>
      <c r="F400" s="1"/>
    </row>
    <row r="401" spans="1:6" x14ac:dyDescent="0.25">
      <c r="A401" s="1"/>
      <c r="B401" s="1"/>
      <c r="C401" s="1"/>
      <c r="D401" s="1"/>
      <c r="E401" s="1"/>
      <c r="F401" s="1"/>
    </row>
    <row r="402" spans="1:6" x14ac:dyDescent="0.25">
      <c r="A402" s="1"/>
      <c r="B402" s="1"/>
      <c r="C402" s="1"/>
      <c r="D402" s="1"/>
      <c r="E402" s="1"/>
      <c r="F402" s="1"/>
    </row>
    <row r="403" spans="1:6" x14ac:dyDescent="0.25">
      <c r="A403" s="1"/>
      <c r="B403" s="1"/>
      <c r="C403" s="1"/>
      <c r="D403" s="1"/>
      <c r="E403" s="1"/>
      <c r="F403" s="1"/>
    </row>
    <row r="404" spans="1:6" x14ac:dyDescent="0.25">
      <c r="A404" s="1"/>
      <c r="B404" s="1"/>
      <c r="C404" s="1"/>
      <c r="D404" s="1"/>
      <c r="E404" s="1"/>
      <c r="F404" s="1"/>
    </row>
    <row r="405" spans="1:6" x14ac:dyDescent="0.25">
      <c r="A405" s="1"/>
      <c r="B405" s="1"/>
      <c r="C405" s="1"/>
      <c r="D405" s="1"/>
      <c r="E405" s="1"/>
      <c r="F405" s="1"/>
    </row>
    <row r="406" spans="1:6" x14ac:dyDescent="0.25">
      <c r="A406" s="1"/>
      <c r="B406" s="1"/>
      <c r="C406" s="1"/>
      <c r="D406" s="1"/>
      <c r="E406" s="1"/>
      <c r="F406" s="1"/>
    </row>
    <row r="407" spans="1:6" x14ac:dyDescent="0.25">
      <c r="A407" s="1"/>
      <c r="B407" s="1"/>
      <c r="C407" s="1"/>
      <c r="D407" s="1"/>
      <c r="E407" s="1"/>
      <c r="F407" s="1"/>
    </row>
    <row r="408" spans="1:6" x14ac:dyDescent="0.25">
      <c r="A408" s="1"/>
      <c r="B408" s="1"/>
      <c r="C408" s="1"/>
      <c r="D408" s="1"/>
      <c r="E408" s="1"/>
      <c r="F408" s="1"/>
    </row>
    <row r="409" spans="1:6" x14ac:dyDescent="0.25">
      <c r="A409" s="1"/>
      <c r="B409" s="1"/>
      <c r="C409" s="1"/>
      <c r="D409" s="1"/>
      <c r="E409" s="1"/>
      <c r="F409" s="1"/>
    </row>
    <row r="410" spans="1:6" x14ac:dyDescent="0.25">
      <c r="A410" s="1"/>
      <c r="B410" s="1"/>
      <c r="C410" s="1"/>
      <c r="D410" s="1"/>
      <c r="E410" s="1"/>
      <c r="F410" s="1"/>
    </row>
    <row r="411" spans="1:6" x14ac:dyDescent="0.25">
      <c r="A411" s="1"/>
      <c r="B411" s="1"/>
      <c r="C411" s="1"/>
      <c r="D411" s="1"/>
      <c r="E411" s="1"/>
      <c r="F411" s="1"/>
    </row>
    <row r="412" spans="1:6" x14ac:dyDescent="0.25">
      <c r="A412" s="1"/>
      <c r="B412" s="1"/>
      <c r="C412" s="1"/>
      <c r="D412" s="1"/>
      <c r="E412" s="1"/>
      <c r="F412" s="1"/>
    </row>
    <row r="413" spans="1:6" x14ac:dyDescent="0.25">
      <c r="A413" s="1"/>
      <c r="B413" s="1"/>
      <c r="C413" s="1"/>
      <c r="D413" s="1"/>
      <c r="E413" s="1"/>
      <c r="F413" s="1"/>
    </row>
    <row r="414" spans="1:6" x14ac:dyDescent="0.25">
      <c r="A414" s="1"/>
      <c r="B414" s="1"/>
      <c r="C414" s="1"/>
      <c r="D414" s="1"/>
      <c r="E414" s="1"/>
      <c r="F414" s="1"/>
    </row>
    <row r="415" spans="1:6" x14ac:dyDescent="0.25">
      <c r="A415" s="1"/>
      <c r="B415" s="1"/>
      <c r="C415" s="1"/>
      <c r="D415" s="1"/>
      <c r="E415" s="1"/>
      <c r="F415" s="1"/>
    </row>
    <row r="416" spans="1:6" x14ac:dyDescent="0.25">
      <c r="A416" s="1"/>
      <c r="B416" s="1"/>
      <c r="C416" s="1"/>
      <c r="D416" s="1"/>
      <c r="E416" s="1"/>
      <c r="F416" s="1"/>
    </row>
    <row r="417" spans="1:6" x14ac:dyDescent="0.25">
      <c r="A417" s="1"/>
      <c r="B417" s="1"/>
      <c r="C417" s="1"/>
      <c r="D417" s="1"/>
      <c r="E417" s="1"/>
      <c r="F417" s="1"/>
    </row>
    <row r="418" spans="1:6" x14ac:dyDescent="0.25">
      <c r="A418" s="1"/>
      <c r="B418" s="1"/>
      <c r="C418" s="1"/>
      <c r="D418" s="1"/>
      <c r="E418" s="1"/>
      <c r="F418" s="1"/>
    </row>
    <row r="419" spans="1:6" x14ac:dyDescent="0.25">
      <c r="A419" s="1"/>
      <c r="B419" s="1"/>
      <c r="C419" s="1"/>
      <c r="D419" s="1"/>
      <c r="E419" s="1"/>
      <c r="F419" s="1"/>
    </row>
    <row r="420" spans="1:6" x14ac:dyDescent="0.25">
      <c r="A420" s="1"/>
      <c r="B420" s="1"/>
      <c r="C420" s="1"/>
      <c r="D420" s="1"/>
      <c r="E420" s="1"/>
      <c r="F420" s="1"/>
    </row>
    <row r="421" spans="1:6" x14ac:dyDescent="0.25">
      <c r="A421" s="1"/>
      <c r="B421" s="1"/>
      <c r="C421" s="1"/>
      <c r="D421" s="1"/>
      <c r="E421" s="1"/>
      <c r="F421" s="1"/>
    </row>
    <row r="422" spans="1:6" x14ac:dyDescent="0.25">
      <c r="A422" s="1"/>
      <c r="B422" s="1"/>
      <c r="C422" s="1"/>
      <c r="D422" s="1"/>
      <c r="E422" s="1"/>
      <c r="F422" s="1"/>
    </row>
    <row r="423" spans="1:6" x14ac:dyDescent="0.25">
      <c r="A423" s="1"/>
      <c r="B423" s="1"/>
      <c r="C423" s="1"/>
      <c r="D423" s="1"/>
      <c r="E423" s="1"/>
      <c r="F423" s="1"/>
    </row>
    <row r="424" spans="1:6" x14ac:dyDescent="0.25">
      <c r="A424" s="1"/>
      <c r="B424" s="1"/>
      <c r="C424" s="1"/>
      <c r="D424" s="1"/>
      <c r="E424" s="1"/>
      <c r="F424" s="1"/>
    </row>
    <row r="425" spans="1:6" x14ac:dyDescent="0.25">
      <c r="A425" s="1"/>
      <c r="B425" s="1"/>
      <c r="C425" s="1"/>
      <c r="D425" s="1"/>
      <c r="E425" s="1"/>
      <c r="F425" s="1"/>
    </row>
    <row r="426" spans="1:6" x14ac:dyDescent="0.25">
      <c r="A426" s="1"/>
      <c r="B426" s="1"/>
      <c r="C426" s="1"/>
      <c r="D426" s="1"/>
      <c r="E426" s="1"/>
      <c r="F426" s="1"/>
    </row>
    <row r="427" spans="1:6" x14ac:dyDescent="0.25">
      <c r="A427" s="1"/>
      <c r="B427" s="1"/>
      <c r="C427" s="1"/>
      <c r="D427" s="1"/>
      <c r="E427" s="1"/>
      <c r="F427" s="1"/>
    </row>
    <row r="428" spans="1:6" x14ac:dyDescent="0.25">
      <c r="A428" s="1"/>
      <c r="B428" s="1"/>
      <c r="C428" s="1"/>
      <c r="D428" s="1"/>
      <c r="E428" s="1"/>
      <c r="F428" s="1"/>
    </row>
    <row r="429" spans="1:6" x14ac:dyDescent="0.25">
      <c r="A429" s="1"/>
      <c r="B429" s="1"/>
      <c r="C429" s="1"/>
      <c r="D429" s="1"/>
      <c r="E429" s="1"/>
      <c r="F429" s="1"/>
    </row>
    <row r="430" spans="1:6" x14ac:dyDescent="0.25">
      <c r="A430" s="1"/>
      <c r="B430" s="1"/>
      <c r="C430" s="1"/>
      <c r="D430" s="1"/>
      <c r="E430" s="1"/>
      <c r="F430" s="1"/>
    </row>
    <row r="431" spans="1:6" x14ac:dyDescent="0.25">
      <c r="A431" s="1"/>
      <c r="B431" s="1"/>
      <c r="C431" s="1"/>
      <c r="D431" s="1"/>
      <c r="E431" s="1"/>
      <c r="F431" s="1"/>
    </row>
    <row r="432" spans="1:6" x14ac:dyDescent="0.25">
      <c r="A432" s="1"/>
      <c r="B432" s="1"/>
      <c r="C432" s="1"/>
      <c r="D432" s="1"/>
      <c r="E432" s="1"/>
      <c r="F432" s="1"/>
    </row>
    <row r="433" spans="1:6" x14ac:dyDescent="0.25">
      <c r="A433" s="1"/>
      <c r="B433" s="1"/>
      <c r="C433" s="1"/>
      <c r="D433" s="1"/>
      <c r="E433" s="1"/>
      <c r="F433" s="1"/>
    </row>
    <row r="434" spans="1:6" x14ac:dyDescent="0.25">
      <c r="A434" s="1"/>
      <c r="B434" s="1"/>
      <c r="C434" s="1"/>
      <c r="D434" s="1"/>
      <c r="E434" s="1"/>
      <c r="F434" s="1"/>
    </row>
    <row r="435" spans="1:6" x14ac:dyDescent="0.25">
      <c r="A435" s="1"/>
      <c r="B435" s="1"/>
      <c r="C435" s="1"/>
      <c r="D435" s="1"/>
      <c r="E435" s="1"/>
      <c r="F435" s="1"/>
    </row>
    <row r="436" spans="1:6" x14ac:dyDescent="0.25">
      <c r="A436" s="1"/>
      <c r="B436" s="1"/>
      <c r="C436" s="1"/>
      <c r="D436" s="1"/>
      <c r="E436" s="1"/>
      <c r="F436" s="1"/>
    </row>
    <row r="437" spans="1:6" x14ac:dyDescent="0.25">
      <c r="A437" s="1"/>
      <c r="B437" s="1"/>
      <c r="C437" s="1"/>
      <c r="D437" s="1"/>
      <c r="E437" s="1"/>
      <c r="F437" s="1"/>
    </row>
    <row r="438" spans="1:6" x14ac:dyDescent="0.25">
      <c r="A438" s="1"/>
      <c r="B438" s="1"/>
      <c r="C438" s="1"/>
      <c r="D438" s="1"/>
      <c r="E438" s="1"/>
      <c r="F438" s="1"/>
    </row>
    <row r="439" spans="1:6" x14ac:dyDescent="0.25">
      <c r="A439" s="1"/>
      <c r="B439" s="1"/>
      <c r="C439" s="1"/>
      <c r="D439" s="1"/>
      <c r="E439" s="1"/>
      <c r="F439" s="1"/>
    </row>
    <row r="440" spans="1:6" x14ac:dyDescent="0.25">
      <c r="A440" s="1"/>
      <c r="B440" s="1"/>
      <c r="C440" s="1"/>
      <c r="D440" s="1"/>
      <c r="E440" s="1"/>
      <c r="F440" s="1"/>
    </row>
    <row r="441" spans="1:6" x14ac:dyDescent="0.25">
      <c r="A441" s="1"/>
      <c r="B441" s="1"/>
      <c r="C441" s="1"/>
      <c r="D441" s="1"/>
      <c r="E441" s="1"/>
      <c r="F441" s="1"/>
    </row>
    <row r="442" spans="1:6" x14ac:dyDescent="0.25">
      <c r="A442" s="1"/>
      <c r="B442" s="1"/>
      <c r="C442" s="1"/>
      <c r="D442" s="1"/>
      <c r="E442" s="1"/>
      <c r="F442" s="1"/>
    </row>
    <row r="443" spans="1:6" x14ac:dyDescent="0.25">
      <c r="A443" s="1"/>
      <c r="B443" s="1"/>
      <c r="C443" s="1"/>
      <c r="D443" s="1"/>
      <c r="E443" s="1"/>
      <c r="F443" s="1"/>
    </row>
    <row r="444" spans="1:6" x14ac:dyDescent="0.25">
      <c r="A444" s="1"/>
      <c r="B444" s="1"/>
      <c r="C444" s="1"/>
      <c r="D444" s="1"/>
      <c r="E444" s="1"/>
      <c r="F444" s="1"/>
    </row>
    <row r="445" spans="1:6" x14ac:dyDescent="0.25">
      <c r="A445" s="1"/>
      <c r="B445" s="1"/>
      <c r="C445" s="1"/>
      <c r="D445" s="1"/>
      <c r="E445" s="1"/>
      <c r="F445" s="1"/>
    </row>
    <row r="446" spans="1:6" x14ac:dyDescent="0.25">
      <c r="A446" s="1"/>
      <c r="B446" s="1"/>
      <c r="C446" s="1"/>
      <c r="D446" s="1"/>
      <c r="E446" s="1"/>
      <c r="F446" s="1"/>
    </row>
    <row r="447" spans="1:6" x14ac:dyDescent="0.25">
      <c r="A447" s="1"/>
      <c r="B447" s="1"/>
      <c r="C447" s="1"/>
      <c r="D447" s="1"/>
      <c r="E447" s="1"/>
      <c r="F447" s="1"/>
    </row>
    <row r="448" spans="1:6" x14ac:dyDescent="0.25">
      <c r="A448" s="1"/>
      <c r="B448" s="1"/>
      <c r="C448" s="1"/>
      <c r="D448" s="1"/>
      <c r="E448" s="1"/>
      <c r="F448" s="1"/>
    </row>
    <row r="449" spans="1:6" x14ac:dyDescent="0.25">
      <c r="A449" s="1"/>
      <c r="B449" s="1"/>
      <c r="C449" s="1"/>
      <c r="D449" s="1"/>
      <c r="E449" s="1"/>
      <c r="F449" s="1"/>
    </row>
    <row r="450" spans="1:6" x14ac:dyDescent="0.25">
      <c r="A450" s="1"/>
      <c r="B450" s="1"/>
      <c r="C450" s="1"/>
      <c r="D450" s="1"/>
      <c r="E450" s="1"/>
      <c r="F450" s="1"/>
    </row>
    <row r="451" spans="1:6" x14ac:dyDescent="0.25">
      <c r="A451" s="1"/>
      <c r="B451" s="1"/>
      <c r="C451" s="1"/>
      <c r="D451" s="1"/>
      <c r="E451" s="1"/>
      <c r="F451" s="1"/>
    </row>
    <row r="452" spans="1:6" x14ac:dyDescent="0.25">
      <c r="A452" s="1"/>
      <c r="B452" s="1"/>
      <c r="C452" s="1"/>
      <c r="D452" s="1"/>
      <c r="E452" s="1"/>
      <c r="F452" s="1"/>
    </row>
    <row r="453" spans="1:6" x14ac:dyDescent="0.25">
      <c r="A453" s="1"/>
      <c r="B453" s="1"/>
      <c r="C453" s="1"/>
      <c r="D453" s="1"/>
      <c r="E453" s="1"/>
      <c r="F453" s="1"/>
    </row>
    <row r="454" spans="1:6" x14ac:dyDescent="0.25">
      <c r="A454" s="1"/>
      <c r="B454" s="1"/>
      <c r="C454" s="1"/>
      <c r="D454" s="1"/>
      <c r="E454" s="1"/>
      <c r="F454" s="1"/>
    </row>
    <row r="455" spans="1:6" x14ac:dyDescent="0.25">
      <c r="A455" s="1"/>
      <c r="B455" s="1"/>
      <c r="C455" s="1"/>
      <c r="D455" s="1"/>
      <c r="E455" s="1"/>
      <c r="F455" s="1"/>
    </row>
    <row r="456" spans="1:6" x14ac:dyDescent="0.25">
      <c r="A456" s="1"/>
      <c r="B456" s="1"/>
      <c r="C456" s="1"/>
      <c r="D456" s="1"/>
      <c r="E456" s="1"/>
      <c r="F456" s="1"/>
    </row>
    <row r="457" spans="1:6" x14ac:dyDescent="0.25">
      <c r="A457" s="1"/>
      <c r="B457" s="1"/>
      <c r="C457" s="1"/>
      <c r="D457" s="1"/>
      <c r="E457" s="1"/>
      <c r="F457" s="1"/>
    </row>
    <row r="458" spans="1:6" x14ac:dyDescent="0.25">
      <c r="A458" s="1"/>
      <c r="B458" s="1"/>
      <c r="C458" s="1"/>
      <c r="D458" s="1"/>
      <c r="E458" s="1"/>
      <c r="F458" s="1"/>
    </row>
    <row r="459" spans="1:6" x14ac:dyDescent="0.25">
      <c r="A459" s="1"/>
      <c r="B459" s="1"/>
      <c r="C459" s="1"/>
      <c r="D459" s="1"/>
      <c r="E459" s="1"/>
      <c r="F459" s="1"/>
    </row>
    <row r="460" spans="1:6" x14ac:dyDescent="0.25">
      <c r="A460" s="1"/>
      <c r="B460" s="1"/>
      <c r="C460" s="1"/>
      <c r="D460" s="1"/>
      <c r="E460" s="1"/>
      <c r="F460" s="1"/>
    </row>
    <row r="461" spans="1:6" x14ac:dyDescent="0.25">
      <c r="A461" s="1"/>
      <c r="B461" s="1"/>
      <c r="C461" s="1"/>
      <c r="D461" s="1"/>
      <c r="E461" s="1"/>
      <c r="F461" s="1"/>
    </row>
    <row r="462" spans="1:6" x14ac:dyDescent="0.25">
      <c r="A462" s="1"/>
      <c r="B462" s="1"/>
      <c r="C462" s="1"/>
      <c r="D462" s="1"/>
      <c r="E462" s="1"/>
      <c r="F462" s="1"/>
    </row>
    <row r="463" spans="1:6" x14ac:dyDescent="0.25">
      <c r="A463" s="1"/>
      <c r="B463" s="1"/>
      <c r="C463" s="1"/>
      <c r="D463" s="1"/>
      <c r="E463" s="1"/>
      <c r="F463" s="1"/>
    </row>
    <row r="464" spans="1:6" x14ac:dyDescent="0.25">
      <c r="A464" s="1"/>
      <c r="B464" s="1"/>
      <c r="C464" s="1"/>
      <c r="D464" s="1"/>
      <c r="E464" s="1"/>
      <c r="F464" s="1"/>
    </row>
    <row r="465" spans="1:6" x14ac:dyDescent="0.25">
      <c r="A465" s="1"/>
      <c r="B465" s="1"/>
      <c r="C465" s="1"/>
      <c r="D465" s="1"/>
      <c r="E465" s="1"/>
      <c r="F465" s="1"/>
    </row>
    <row r="466" spans="1:6" x14ac:dyDescent="0.25">
      <c r="A466" s="1"/>
      <c r="B466" s="1"/>
      <c r="C466" s="1"/>
      <c r="D466" s="1"/>
      <c r="E466" s="1"/>
      <c r="F466" s="1"/>
    </row>
    <row r="467" spans="1:6" x14ac:dyDescent="0.25">
      <c r="A467" s="1"/>
      <c r="B467" s="1"/>
      <c r="C467" s="1"/>
      <c r="D467" s="1"/>
      <c r="E467" s="1"/>
      <c r="F467" s="1"/>
    </row>
    <row r="468" spans="1:6" x14ac:dyDescent="0.25">
      <c r="A468" s="1"/>
      <c r="B468" s="1"/>
      <c r="C468" s="1"/>
      <c r="D468" s="1"/>
      <c r="E468" s="1"/>
      <c r="F468" s="1"/>
    </row>
    <row r="469" spans="1:6" x14ac:dyDescent="0.25">
      <c r="A469" s="1"/>
      <c r="B469" s="1"/>
      <c r="C469" s="1"/>
      <c r="D469" s="1"/>
      <c r="E469" s="1"/>
      <c r="F469" s="1"/>
    </row>
    <row r="470" spans="1:6" x14ac:dyDescent="0.25">
      <c r="A470" s="1"/>
      <c r="B470" s="1"/>
      <c r="C470" s="1"/>
      <c r="D470" s="1"/>
      <c r="E470" s="1"/>
      <c r="F470" s="1"/>
    </row>
    <row r="471" spans="1:6" x14ac:dyDescent="0.25">
      <c r="A471" s="1"/>
      <c r="B471" s="1"/>
      <c r="C471" s="1"/>
      <c r="D471" s="1"/>
      <c r="E471" s="1"/>
      <c r="F471" s="1"/>
    </row>
    <row r="472" spans="1:6" x14ac:dyDescent="0.25">
      <c r="A472" s="1"/>
      <c r="B472" s="1"/>
      <c r="C472" s="1"/>
      <c r="D472" s="1"/>
      <c r="E472" s="1"/>
      <c r="F472" s="1"/>
    </row>
    <row r="473" spans="1:6" x14ac:dyDescent="0.25">
      <c r="A473" s="1"/>
      <c r="B473" s="1"/>
      <c r="C473" s="1"/>
      <c r="D473" s="1"/>
      <c r="E473" s="1"/>
      <c r="F473" s="1"/>
    </row>
    <row r="474" spans="1:6" x14ac:dyDescent="0.25">
      <c r="A474" s="1"/>
      <c r="B474" s="1"/>
      <c r="C474" s="1"/>
      <c r="D474" s="1"/>
      <c r="E474" s="1"/>
      <c r="F474" s="1"/>
    </row>
    <row r="475" spans="1:6" x14ac:dyDescent="0.25">
      <c r="A475" s="1"/>
      <c r="B475" s="1"/>
      <c r="C475" s="1"/>
      <c r="D475" s="1"/>
      <c r="E475" s="1"/>
      <c r="F475" s="1"/>
    </row>
    <row r="476" spans="1:6" x14ac:dyDescent="0.25">
      <c r="A476" s="1"/>
      <c r="B476" s="1"/>
      <c r="C476" s="1"/>
      <c r="D476" s="1"/>
      <c r="E476" s="1"/>
      <c r="F476" s="1"/>
    </row>
    <row r="477" spans="1:6" x14ac:dyDescent="0.25">
      <c r="A477" s="1"/>
      <c r="B477" s="1"/>
      <c r="C477" s="1"/>
      <c r="D477" s="1"/>
      <c r="E477" s="1"/>
      <c r="F477" s="1"/>
    </row>
    <row r="478" spans="1:6" x14ac:dyDescent="0.25">
      <c r="A478" s="1"/>
      <c r="B478" s="1"/>
      <c r="C478" s="1"/>
      <c r="D478" s="1"/>
      <c r="E478" s="1"/>
      <c r="F478" s="1"/>
    </row>
    <row r="479" spans="1:6" x14ac:dyDescent="0.25">
      <c r="A479" s="1"/>
      <c r="B479" s="1"/>
      <c r="C479" s="1"/>
      <c r="D479" s="1"/>
      <c r="E479" s="1"/>
      <c r="F479" s="1"/>
    </row>
    <row r="480" spans="1:6" x14ac:dyDescent="0.25">
      <c r="A480" s="1"/>
      <c r="B480" s="1"/>
      <c r="C480" s="1"/>
      <c r="D480" s="1"/>
      <c r="E480" s="1"/>
      <c r="F480" s="1"/>
    </row>
    <row r="481" spans="1:6" x14ac:dyDescent="0.25">
      <c r="A481" s="1"/>
      <c r="B481" s="1"/>
      <c r="C481" s="1"/>
      <c r="D481" s="1"/>
      <c r="E481" s="1"/>
      <c r="F481" s="1"/>
    </row>
    <row r="482" spans="1:6" x14ac:dyDescent="0.25">
      <c r="A482" s="1"/>
      <c r="B482" s="1"/>
      <c r="C482" s="1"/>
      <c r="D482" s="1"/>
      <c r="E482" s="1"/>
      <c r="F482" s="1"/>
    </row>
    <row r="483" spans="1:6" x14ac:dyDescent="0.25">
      <c r="A483" s="1"/>
      <c r="B483" s="1"/>
      <c r="C483" s="1"/>
      <c r="D483" s="1"/>
      <c r="E483" s="1"/>
      <c r="F483" s="1"/>
    </row>
    <row r="484" spans="1:6" x14ac:dyDescent="0.25">
      <c r="A484" s="1"/>
      <c r="B484" s="1"/>
      <c r="C484" s="1"/>
      <c r="D484" s="1"/>
      <c r="E484" s="1"/>
      <c r="F484" s="1"/>
    </row>
    <row r="485" spans="1:6" x14ac:dyDescent="0.25">
      <c r="A485" s="1"/>
      <c r="B485" s="1"/>
      <c r="C485" s="1"/>
      <c r="D485" s="1"/>
      <c r="E485" s="1"/>
      <c r="F485" s="1"/>
    </row>
    <row r="486" spans="1:6" x14ac:dyDescent="0.25">
      <c r="A486" s="1"/>
      <c r="B486" s="1"/>
      <c r="C486" s="1"/>
      <c r="D486" s="1"/>
      <c r="E486" s="1"/>
      <c r="F486" s="1"/>
    </row>
    <row r="487" spans="1:6" x14ac:dyDescent="0.25">
      <c r="A487" s="1"/>
      <c r="B487" s="1"/>
      <c r="C487" s="1"/>
      <c r="D487" s="1"/>
      <c r="E487" s="1"/>
      <c r="F487" s="1"/>
    </row>
    <row r="488" spans="1:6" x14ac:dyDescent="0.25">
      <c r="A488" s="1"/>
      <c r="B488" s="1"/>
      <c r="C488" s="1"/>
      <c r="D488" s="1"/>
      <c r="E488" s="1"/>
      <c r="F488" s="1"/>
    </row>
    <row r="489" spans="1:6" x14ac:dyDescent="0.25">
      <c r="A489" s="1"/>
      <c r="B489" s="1"/>
      <c r="C489" s="1"/>
      <c r="D489" s="1"/>
      <c r="E489" s="1"/>
      <c r="F489" s="1"/>
    </row>
    <row r="490" spans="1:6" x14ac:dyDescent="0.25">
      <c r="A490" s="1"/>
      <c r="B490" s="1"/>
      <c r="C490" s="1"/>
      <c r="D490" s="1"/>
      <c r="E490" s="1"/>
      <c r="F490" s="1"/>
    </row>
    <row r="491" spans="1:6" x14ac:dyDescent="0.25">
      <c r="A491" s="1"/>
      <c r="B491" s="1"/>
      <c r="C491" s="1"/>
      <c r="D491" s="1"/>
      <c r="E491" s="1"/>
      <c r="F491" s="1"/>
    </row>
    <row r="492" spans="1:6" x14ac:dyDescent="0.25">
      <c r="A492" s="1"/>
      <c r="B492" s="1"/>
      <c r="C492" s="1"/>
      <c r="D492" s="1"/>
      <c r="E492" s="1"/>
      <c r="F492" s="1"/>
    </row>
    <row r="493" spans="1:6" x14ac:dyDescent="0.25">
      <c r="A493" s="1"/>
      <c r="B493" s="1"/>
      <c r="C493" s="1"/>
      <c r="D493" s="1"/>
      <c r="E493" s="1"/>
      <c r="F493" s="1"/>
    </row>
    <row r="494" spans="1:6" x14ac:dyDescent="0.25">
      <c r="A494" s="1"/>
      <c r="B494" s="1"/>
      <c r="C494" s="1"/>
      <c r="D494" s="1"/>
      <c r="E494" s="1"/>
      <c r="F494" s="1"/>
    </row>
    <row r="495" spans="1:6" x14ac:dyDescent="0.25">
      <c r="A495" s="1"/>
      <c r="B495" s="1"/>
      <c r="C495" s="1"/>
      <c r="D495" s="1"/>
      <c r="E495" s="1"/>
      <c r="F495" s="1"/>
    </row>
    <row r="496" spans="1:6" x14ac:dyDescent="0.25">
      <c r="A496" s="1"/>
      <c r="B496" s="1"/>
      <c r="C496" s="1"/>
      <c r="D496" s="1"/>
      <c r="E496" s="1"/>
      <c r="F496" s="1"/>
    </row>
    <row r="497" spans="1:6" x14ac:dyDescent="0.25">
      <c r="A497" s="1"/>
      <c r="B497" s="1"/>
      <c r="C497" s="1"/>
      <c r="D497" s="1"/>
      <c r="E497" s="1"/>
      <c r="F497" s="1"/>
    </row>
    <row r="498" spans="1:6" x14ac:dyDescent="0.25">
      <c r="A498" s="1"/>
      <c r="B498" s="1"/>
      <c r="C498" s="1"/>
      <c r="D498" s="1"/>
      <c r="E498" s="1"/>
      <c r="F498" s="1"/>
    </row>
    <row r="499" spans="1:6" x14ac:dyDescent="0.25">
      <c r="A499" s="1"/>
      <c r="B499" s="1"/>
      <c r="C499" s="1"/>
      <c r="D499" s="1"/>
      <c r="E499" s="1"/>
      <c r="F499" s="1"/>
    </row>
    <row r="500" spans="1:6" x14ac:dyDescent="0.25">
      <c r="A500" s="1"/>
      <c r="B500" s="1"/>
      <c r="C500" s="1"/>
      <c r="D500" s="1"/>
      <c r="E500" s="1"/>
      <c r="F500" s="1"/>
    </row>
    <row r="501" spans="1:6" x14ac:dyDescent="0.25">
      <c r="A501" s="1"/>
      <c r="B501" s="1"/>
      <c r="C501" s="1"/>
      <c r="D501" s="1"/>
      <c r="E501" s="1"/>
      <c r="F501" s="1"/>
    </row>
    <row r="502" spans="1:6" x14ac:dyDescent="0.25">
      <c r="A502" s="1"/>
      <c r="B502" s="1"/>
      <c r="C502" s="1"/>
      <c r="D502" s="1"/>
      <c r="E502" s="1"/>
      <c r="F502" s="1"/>
    </row>
    <row r="503" spans="1:6" x14ac:dyDescent="0.25">
      <c r="A503" s="1"/>
      <c r="B503" s="1"/>
      <c r="C503" s="1"/>
      <c r="D503" s="1"/>
      <c r="E503" s="1"/>
      <c r="F503" s="1"/>
    </row>
    <row r="504" spans="1:6" x14ac:dyDescent="0.25">
      <c r="A504" s="1"/>
      <c r="B504" s="1"/>
      <c r="C504" s="1"/>
      <c r="D504" s="1"/>
      <c r="E504" s="1"/>
      <c r="F504" s="1"/>
    </row>
    <row r="505" spans="1:6" x14ac:dyDescent="0.25">
      <c r="A505" s="1"/>
      <c r="B505" s="1"/>
      <c r="C505" s="1"/>
      <c r="D505" s="1"/>
      <c r="E505" s="1"/>
      <c r="F505" s="1"/>
    </row>
    <row r="506" spans="1:6" x14ac:dyDescent="0.25">
      <c r="A506" s="1"/>
      <c r="B506" s="1"/>
      <c r="C506" s="1"/>
      <c r="D506" s="1"/>
      <c r="E506" s="1"/>
      <c r="F506" s="1"/>
    </row>
    <row r="507" spans="1:6" x14ac:dyDescent="0.25">
      <c r="A507" s="1"/>
      <c r="B507" s="1"/>
      <c r="C507" s="1"/>
      <c r="D507" s="1"/>
      <c r="E507" s="1"/>
      <c r="F507" s="1"/>
    </row>
    <row r="508" spans="1:6" x14ac:dyDescent="0.25">
      <c r="A508" s="1"/>
      <c r="B508" s="1"/>
      <c r="C508" s="1"/>
      <c r="D508" s="1"/>
      <c r="E508" s="1"/>
      <c r="F508" s="1"/>
    </row>
    <row r="509" spans="1:6" x14ac:dyDescent="0.25">
      <c r="A509" s="1"/>
      <c r="B509" s="1"/>
      <c r="C509" s="1"/>
      <c r="D509" s="1"/>
      <c r="E509" s="1"/>
      <c r="F509" s="1"/>
    </row>
    <row r="510" spans="1:6" x14ac:dyDescent="0.25">
      <c r="A510" s="1"/>
      <c r="B510" s="1"/>
      <c r="C510" s="1"/>
      <c r="D510" s="1"/>
      <c r="E510" s="1"/>
      <c r="F510" s="1"/>
    </row>
    <row r="511" spans="1:6" x14ac:dyDescent="0.25">
      <c r="A511" s="1"/>
      <c r="B511" s="1"/>
      <c r="C511" s="1"/>
      <c r="D511" s="1"/>
      <c r="E511" s="1"/>
      <c r="F511" s="1"/>
    </row>
    <row r="512" spans="1:6" x14ac:dyDescent="0.25">
      <c r="A512" s="1"/>
      <c r="B512" s="1"/>
      <c r="C512" s="1"/>
      <c r="D512" s="1"/>
      <c r="E512" s="1"/>
      <c r="F512" s="1"/>
    </row>
    <row r="513" spans="1:6" x14ac:dyDescent="0.25">
      <c r="A513" s="1"/>
      <c r="B513" s="1"/>
      <c r="C513" s="1"/>
      <c r="D513" s="1"/>
      <c r="E513" s="1"/>
      <c r="F513" s="1"/>
    </row>
    <row r="514" spans="1:6" x14ac:dyDescent="0.25">
      <c r="A514" s="1"/>
      <c r="B514" s="1"/>
      <c r="C514" s="1"/>
      <c r="D514" s="1"/>
      <c r="E514" s="1"/>
      <c r="F514" s="1"/>
    </row>
    <row r="515" spans="1:6" x14ac:dyDescent="0.25">
      <c r="A515" s="1"/>
      <c r="B515" s="1"/>
      <c r="C515" s="1"/>
      <c r="D515" s="1"/>
      <c r="E515" s="1"/>
      <c r="F515" s="1"/>
    </row>
    <row r="516" spans="1:6" x14ac:dyDescent="0.25">
      <c r="A516" s="1"/>
      <c r="B516" s="1"/>
      <c r="C516" s="1"/>
      <c r="D516" s="1"/>
      <c r="E516" s="1"/>
      <c r="F516" s="1"/>
    </row>
    <row r="517" spans="1:6" x14ac:dyDescent="0.25">
      <c r="A517" s="1"/>
      <c r="B517" s="1"/>
      <c r="C517" s="1"/>
      <c r="D517" s="1"/>
      <c r="E517" s="1"/>
      <c r="F517" s="1"/>
    </row>
    <row r="518" spans="1:6" x14ac:dyDescent="0.25">
      <c r="A518" s="1"/>
      <c r="B518" s="1"/>
      <c r="C518" s="1"/>
      <c r="D518" s="1"/>
      <c r="E518" s="1"/>
      <c r="F518" s="1"/>
    </row>
    <row r="519" spans="1:6" x14ac:dyDescent="0.25">
      <c r="A519" s="1"/>
      <c r="B519" s="1"/>
      <c r="C519" s="1"/>
      <c r="D519" s="1"/>
      <c r="E519" s="1"/>
      <c r="F519" s="1"/>
    </row>
    <row r="520" spans="1:6" x14ac:dyDescent="0.25">
      <c r="A520" s="1"/>
      <c r="B520" s="1"/>
      <c r="C520" s="1"/>
      <c r="D520" s="1"/>
      <c r="E520" s="1"/>
      <c r="F520" s="1"/>
    </row>
    <row r="521" spans="1:6" x14ac:dyDescent="0.25">
      <c r="A521" s="1"/>
      <c r="B521" s="1"/>
      <c r="C521" s="1"/>
      <c r="D521" s="1"/>
      <c r="E521" s="1"/>
      <c r="F521" s="1"/>
    </row>
    <row r="522" spans="1:6" x14ac:dyDescent="0.25">
      <c r="A522" s="1"/>
      <c r="B522" s="1"/>
      <c r="C522" s="1"/>
      <c r="D522" s="1"/>
      <c r="E522" s="1"/>
      <c r="F522" s="1"/>
    </row>
    <row r="523" spans="1:6" x14ac:dyDescent="0.25">
      <c r="A523" s="1"/>
      <c r="B523" s="1"/>
      <c r="C523" s="1"/>
      <c r="D523" s="1"/>
      <c r="E523" s="1"/>
      <c r="F523" s="1"/>
    </row>
    <row r="524" spans="1:6" x14ac:dyDescent="0.25">
      <c r="A524" s="1"/>
      <c r="B524" s="1"/>
      <c r="C524" s="1"/>
      <c r="D524" s="1"/>
      <c r="E524" s="1"/>
      <c r="F524" s="1"/>
    </row>
    <row r="525" spans="1:6" x14ac:dyDescent="0.25">
      <c r="A525" s="1"/>
      <c r="B525" s="1"/>
      <c r="C525" s="1"/>
      <c r="D525" s="1"/>
      <c r="E525" s="1"/>
      <c r="F525" s="1"/>
    </row>
    <row r="526" spans="1:6" x14ac:dyDescent="0.25">
      <c r="A526" s="1"/>
      <c r="B526" s="1"/>
      <c r="C526" s="1"/>
      <c r="D526" s="1"/>
      <c r="E526" s="1"/>
      <c r="F526" s="1"/>
    </row>
    <row r="527" spans="1:6" x14ac:dyDescent="0.25">
      <c r="A527" s="1"/>
      <c r="B527" s="1"/>
      <c r="C527" s="1"/>
      <c r="D527" s="1"/>
      <c r="E527" s="1"/>
      <c r="F527" s="1"/>
    </row>
    <row r="528" spans="1:6" x14ac:dyDescent="0.25">
      <c r="A528" s="1"/>
      <c r="B528" s="1"/>
      <c r="C528" s="1"/>
      <c r="D528" s="1"/>
      <c r="E528" s="1"/>
      <c r="F528" s="1"/>
    </row>
    <row r="529" spans="1:6" x14ac:dyDescent="0.25">
      <c r="A529" s="1"/>
      <c r="B529" s="1"/>
      <c r="C529" s="1"/>
      <c r="D529" s="1"/>
      <c r="E529" s="1"/>
      <c r="F529" s="1"/>
    </row>
    <row r="530" spans="1:6" x14ac:dyDescent="0.25">
      <c r="A530" s="1"/>
      <c r="B530" s="1"/>
      <c r="C530" s="1"/>
      <c r="D530" s="1"/>
      <c r="E530" s="1"/>
      <c r="F530" s="1"/>
    </row>
    <row r="531" spans="1:6" x14ac:dyDescent="0.25">
      <c r="A531" s="1"/>
      <c r="B531" s="1"/>
      <c r="C531" s="1"/>
      <c r="D531" s="1"/>
      <c r="E531" s="1"/>
      <c r="F531" s="1"/>
    </row>
    <row r="532" spans="1:6" x14ac:dyDescent="0.25">
      <c r="A532" s="1"/>
      <c r="B532" s="1"/>
      <c r="C532" s="1"/>
      <c r="D532" s="1"/>
      <c r="E532" s="1"/>
      <c r="F532" s="1"/>
    </row>
    <row r="533" spans="1:6" x14ac:dyDescent="0.25">
      <c r="A533" s="1"/>
      <c r="B533" s="1"/>
      <c r="C533" s="1"/>
      <c r="D533" s="1"/>
      <c r="E533" s="1"/>
      <c r="F533" s="1"/>
    </row>
    <row r="534" spans="1:6" x14ac:dyDescent="0.25">
      <c r="A534" s="1"/>
      <c r="B534" s="1"/>
      <c r="C534" s="1"/>
      <c r="D534" s="1"/>
      <c r="E534" s="1"/>
      <c r="F534" s="1"/>
    </row>
    <row r="535" spans="1:6" x14ac:dyDescent="0.25">
      <c r="A535" s="1"/>
      <c r="B535" s="1"/>
      <c r="C535" s="1"/>
      <c r="D535" s="1"/>
      <c r="E535" s="1"/>
      <c r="F535" s="1"/>
    </row>
    <row r="536" spans="1:6" x14ac:dyDescent="0.25">
      <c r="A536" s="1"/>
      <c r="B536" s="1"/>
      <c r="C536" s="1"/>
      <c r="D536" s="1"/>
      <c r="E536" s="1"/>
      <c r="F536" s="1"/>
    </row>
    <row r="537" spans="1:6" x14ac:dyDescent="0.25">
      <c r="A537" s="1"/>
      <c r="B537" s="1"/>
      <c r="C537" s="1"/>
      <c r="D537" s="1"/>
      <c r="E537" s="1"/>
      <c r="F537" s="1"/>
    </row>
    <row r="538" spans="1:6" x14ac:dyDescent="0.25">
      <c r="A538" s="1"/>
      <c r="B538" s="1"/>
      <c r="C538" s="1"/>
      <c r="D538" s="1"/>
      <c r="E538" s="1"/>
      <c r="F538" s="1"/>
    </row>
    <row r="539" spans="1:6" x14ac:dyDescent="0.25">
      <c r="A539" s="1"/>
      <c r="B539" s="1"/>
      <c r="C539" s="1"/>
      <c r="D539" s="1"/>
      <c r="E539" s="1"/>
      <c r="F539" s="1"/>
    </row>
    <row r="540" spans="1:6" x14ac:dyDescent="0.25">
      <c r="A540" s="1"/>
      <c r="B540" s="1"/>
      <c r="C540" s="1"/>
      <c r="D540" s="1"/>
      <c r="E540" s="1"/>
      <c r="F540" s="1"/>
    </row>
    <row r="541" spans="1:6" x14ac:dyDescent="0.25">
      <c r="A541" s="1"/>
      <c r="B541" s="1"/>
      <c r="C541" s="1"/>
      <c r="D541" s="1"/>
      <c r="E541" s="1"/>
      <c r="F541" s="1"/>
    </row>
    <row r="542" spans="1:6" x14ac:dyDescent="0.25">
      <c r="A542" s="1"/>
      <c r="B542" s="1"/>
      <c r="C542" s="1"/>
      <c r="D542" s="1"/>
      <c r="E542" s="1"/>
      <c r="F542" s="1"/>
    </row>
    <row r="543" spans="1:6" x14ac:dyDescent="0.25">
      <c r="A543" s="1"/>
      <c r="B543" s="1"/>
      <c r="C543" s="1"/>
      <c r="D543" s="1"/>
      <c r="E543" s="1"/>
      <c r="F543" s="1"/>
    </row>
    <row r="544" spans="1:6" x14ac:dyDescent="0.25">
      <c r="A544" s="1"/>
      <c r="B544" s="1"/>
      <c r="C544" s="1"/>
      <c r="D544" s="1"/>
      <c r="E544" s="1"/>
      <c r="F544" s="1"/>
    </row>
    <row r="545" spans="1:6" x14ac:dyDescent="0.25">
      <c r="A545" s="1"/>
      <c r="B545" s="1"/>
      <c r="C545" s="1"/>
      <c r="D545" s="1"/>
      <c r="E545" s="1"/>
      <c r="F545" s="1"/>
    </row>
    <row r="546" spans="1:6" x14ac:dyDescent="0.25">
      <c r="A546" s="1"/>
      <c r="B546" s="1"/>
      <c r="C546" s="1"/>
      <c r="D546" s="1"/>
      <c r="E546" s="1"/>
      <c r="F546" s="1"/>
    </row>
    <row r="547" spans="1:6" x14ac:dyDescent="0.25">
      <c r="A547" s="1"/>
      <c r="B547" s="1"/>
      <c r="C547" s="1"/>
      <c r="D547" s="1"/>
      <c r="E547" s="1"/>
      <c r="F547" s="1"/>
    </row>
    <row r="548" spans="1:6" x14ac:dyDescent="0.25">
      <c r="A548" s="1"/>
      <c r="B548" s="1"/>
      <c r="C548" s="1"/>
      <c r="D548" s="1"/>
      <c r="E548" s="1"/>
      <c r="F548" s="1"/>
    </row>
    <row r="549" spans="1:6" x14ac:dyDescent="0.25">
      <c r="A549" s="1"/>
      <c r="B549" s="1"/>
      <c r="C549" s="1"/>
      <c r="D549" s="1"/>
      <c r="E549" s="1"/>
      <c r="F549" s="1"/>
    </row>
    <row r="550" spans="1:6" x14ac:dyDescent="0.25">
      <c r="A550" s="1"/>
      <c r="B550" s="1"/>
      <c r="C550" s="1"/>
      <c r="D550" s="1"/>
      <c r="E550" s="1"/>
      <c r="F550" s="1"/>
    </row>
    <row r="551" spans="1:6" x14ac:dyDescent="0.25">
      <c r="A551" s="1"/>
      <c r="B551" s="1"/>
      <c r="C551" s="1"/>
      <c r="D551" s="1"/>
      <c r="E551" s="1"/>
      <c r="F551" s="1"/>
    </row>
    <row r="552" spans="1:6" x14ac:dyDescent="0.25">
      <c r="A552" s="1"/>
      <c r="B552" s="1"/>
      <c r="C552" s="1"/>
      <c r="D552" s="1"/>
      <c r="E552" s="1"/>
      <c r="F552" s="1"/>
    </row>
    <row r="553" spans="1:6" x14ac:dyDescent="0.25">
      <c r="A553" s="1"/>
      <c r="B553" s="1"/>
      <c r="C553" s="1"/>
      <c r="D553" s="1"/>
      <c r="E553" s="1"/>
      <c r="F553" s="1"/>
    </row>
    <row r="554" spans="1:6" x14ac:dyDescent="0.25">
      <c r="A554" s="1"/>
      <c r="B554" s="1"/>
      <c r="C554" s="1"/>
      <c r="D554" s="1"/>
      <c r="E554" s="1"/>
      <c r="F554" s="1"/>
    </row>
    <row r="555" spans="1:6" x14ac:dyDescent="0.25">
      <c r="A555" s="1"/>
      <c r="B555" s="1"/>
      <c r="C555" s="1"/>
      <c r="D555" s="1"/>
      <c r="E555" s="1"/>
      <c r="F555" s="1"/>
    </row>
    <row r="556" spans="1:6" x14ac:dyDescent="0.25">
      <c r="A556" s="1"/>
      <c r="B556" s="1"/>
      <c r="C556" s="1"/>
      <c r="D556" s="1"/>
      <c r="E556" s="1"/>
      <c r="F556" s="1"/>
    </row>
    <row r="557" spans="1:6" x14ac:dyDescent="0.25">
      <c r="A557" s="1"/>
      <c r="B557" s="1"/>
      <c r="C557" s="1"/>
      <c r="D557" s="1"/>
      <c r="E557" s="1"/>
      <c r="F557" s="1"/>
    </row>
    <row r="558" spans="1:6" x14ac:dyDescent="0.25">
      <c r="A558" s="1"/>
      <c r="B558" s="1"/>
      <c r="C558" s="1"/>
      <c r="D558" s="1"/>
      <c r="E558" s="1"/>
      <c r="F558" s="1"/>
    </row>
    <row r="559" spans="1:6" x14ac:dyDescent="0.25">
      <c r="A559" s="1"/>
      <c r="B559" s="1"/>
      <c r="C559" s="1"/>
      <c r="D559" s="1"/>
      <c r="E559" s="1"/>
      <c r="F559" s="1"/>
    </row>
    <row r="560" spans="1:6" x14ac:dyDescent="0.25">
      <c r="A560" s="1"/>
      <c r="B560" s="1"/>
      <c r="C560" s="1"/>
      <c r="D560" s="1"/>
      <c r="E560" s="1"/>
      <c r="F560" s="1"/>
    </row>
    <row r="561" spans="1:6" x14ac:dyDescent="0.25">
      <c r="A561" s="1"/>
      <c r="B561" s="1"/>
      <c r="C561" s="1"/>
      <c r="D561" s="1"/>
      <c r="E561" s="1"/>
      <c r="F561" s="1"/>
    </row>
    <row r="562" spans="1:6" x14ac:dyDescent="0.25">
      <c r="A562" s="1"/>
      <c r="B562" s="1"/>
      <c r="C562" s="1"/>
      <c r="D562" s="1"/>
      <c r="E562" s="1"/>
      <c r="F562" s="1"/>
    </row>
    <row r="563" spans="1:6" x14ac:dyDescent="0.25">
      <c r="A563" s="1"/>
      <c r="B563" s="1"/>
      <c r="C563" s="1"/>
      <c r="D563" s="1"/>
      <c r="E563" s="1"/>
      <c r="F563" s="1"/>
    </row>
    <row r="564" spans="1:6" x14ac:dyDescent="0.25">
      <c r="A564" s="1"/>
      <c r="B564" s="1"/>
      <c r="C564" s="1"/>
      <c r="D564" s="1"/>
      <c r="E564" s="1"/>
      <c r="F564" s="1"/>
    </row>
    <row r="565" spans="1:6" x14ac:dyDescent="0.25">
      <c r="A565" s="1"/>
      <c r="B565" s="1"/>
      <c r="C565" s="1"/>
      <c r="D565" s="1"/>
      <c r="E565" s="1"/>
      <c r="F565" s="1"/>
    </row>
    <row r="566" spans="1:6" x14ac:dyDescent="0.25">
      <c r="A566" s="1"/>
      <c r="B566" s="1"/>
      <c r="C566" s="1"/>
      <c r="D566" s="1"/>
      <c r="E566" s="1"/>
      <c r="F566" s="1"/>
    </row>
    <row r="567" spans="1:6" x14ac:dyDescent="0.25">
      <c r="A567" s="1"/>
      <c r="B567" s="1"/>
      <c r="C567" s="1"/>
      <c r="D567" s="1"/>
      <c r="E567" s="1"/>
      <c r="F567" s="1"/>
    </row>
    <row r="568" spans="1:6" x14ac:dyDescent="0.25">
      <c r="A568" s="1"/>
      <c r="B568" s="1"/>
      <c r="C568" s="1"/>
      <c r="D568" s="1"/>
      <c r="E568" s="1"/>
      <c r="F568" s="1"/>
    </row>
    <row r="569" spans="1:6" x14ac:dyDescent="0.25">
      <c r="A569" s="1"/>
      <c r="B569" s="1"/>
      <c r="C569" s="1"/>
      <c r="D569" s="1"/>
      <c r="E569" s="1"/>
      <c r="F569" s="1"/>
    </row>
    <row r="570" spans="1:6" x14ac:dyDescent="0.25">
      <c r="A570" s="1"/>
      <c r="B570" s="1"/>
      <c r="C570" s="1"/>
      <c r="D570" s="1"/>
      <c r="E570" s="1"/>
      <c r="F570" s="1"/>
    </row>
    <row r="571" spans="1:6" x14ac:dyDescent="0.25">
      <c r="A571" s="1"/>
      <c r="B571" s="1"/>
      <c r="C571" s="1"/>
      <c r="D571" s="1"/>
      <c r="E571" s="1"/>
      <c r="F571" s="1"/>
    </row>
    <row r="572" spans="1:6" x14ac:dyDescent="0.25">
      <c r="A572" s="1"/>
      <c r="B572" s="1"/>
      <c r="C572" s="1"/>
      <c r="D572" s="1"/>
      <c r="E572" s="1"/>
      <c r="F572" s="1"/>
    </row>
    <row r="573" spans="1:6" x14ac:dyDescent="0.25">
      <c r="A573" s="1"/>
      <c r="B573" s="1"/>
      <c r="C573" s="1"/>
      <c r="D573" s="1"/>
      <c r="E573" s="1"/>
      <c r="F573" s="1"/>
    </row>
    <row r="574" spans="1:6" x14ac:dyDescent="0.25">
      <c r="A574" s="1"/>
      <c r="B574" s="1"/>
      <c r="C574" s="1"/>
      <c r="D574" s="1"/>
      <c r="E574" s="1"/>
      <c r="F574" s="1"/>
    </row>
    <row r="575" spans="1:6" x14ac:dyDescent="0.25">
      <c r="A575" s="1"/>
      <c r="B575" s="1"/>
      <c r="C575" s="1"/>
      <c r="D575" s="1"/>
      <c r="E575" s="1"/>
      <c r="F575" s="1"/>
    </row>
    <row r="576" spans="1:6" x14ac:dyDescent="0.25">
      <c r="A576" s="1"/>
      <c r="B576" s="1"/>
      <c r="C576" s="1"/>
      <c r="D576" s="1"/>
      <c r="E576" s="1"/>
      <c r="F576" s="1"/>
    </row>
    <row r="577" spans="1:6" x14ac:dyDescent="0.25">
      <c r="A577" s="1"/>
      <c r="B577" s="1"/>
      <c r="C577" s="1"/>
      <c r="D577" s="1"/>
      <c r="E577" s="1"/>
      <c r="F577" s="1"/>
    </row>
    <row r="578" spans="1:6" x14ac:dyDescent="0.25">
      <c r="A578" s="1"/>
      <c r="B578" s="1"/>
      <c r="C578" s="1"/>
      <c r="D578" s="1"/>
      <c r="E578" s="1"/>
      <c r="F578" s="1"/>
    </row>
    <row r="579" spans="1:6" x14ac:dyDescent="0.25">
      <c r="A579" s="1"/>
      <c r="B579" s="1"/>
      <c r="C579" s="1"/>
      <c r="D579" s="1"/>
      <c r="E579" s="1"/>
      <c r="F579" s="1"/>
    </row>
    <row r="580" spans="1:6" x14ac:dyDescent="0.25">
      <c r="A580" s="1"/>
      <c r="B580" s="1"/>
      <c r="C580" s="1"/>
      <c r="D580" s="1"/>
      <c r="E580" s="1"/>
      <c r="F580" s="1"/>
    </row>
    <row r="581" spans="1:6" x14ac:dyDescent="0.25">
      <c r="A581" s="1"/>
      <c r="B581" s="1"/>
      <c r="C581" s="1"/>
      <c r="D581" s="1"/>
      <c r="E581" s="1"/>
      <c r="F581" s="1"/>
    </row>
    <row r="582" spans="1:6" x14ac:dyDescent="0.25">
      <c r="A582" s="1"/>
      <c r="B582" s="1"/>
      <c r="C582" s="1"/>
      <c r="D582" s="1"/>
      <c r="E582" s="1"/>
      <c r="F582" s="1"/>
    </row>
    <row r="583" spans="1:6" x14ac:dyDescent="0.25">
      <c r="A583" s="1"/>
      <c r="B583" s="1"/>
      <c r="C583" s="1"/>
      <c r="D583" s="1"/>
      <c r="E583" s="1"/>
      <c r="F583" s="1"/>
    </row>
    <row r="584" spans="1:6" x14ac:dyDescent="0.25">
      <c r="A584" s="1"/>
      <c r="B584" s="1"/>
      <c r="C584" s="1"/>
      <c r="D584" s="1"/>
      <c r="E584" s="1"/>
      <c r="F584" s="1"/>
    </row>
    <row r="585" spans="1:6" x14ac:dyDescent="0.25">
      <c r="A585" s="1"/>
      <c r="B585" s="1"/>
      <c r="C585" s="1"/>
      <c r="D585" s="1"/>
      <c r="E585" s="1"/>
      <c r="F585" s="1"/>
    </row>
    <row r="586" spans="1:6" x14ac:dyDescent="0.25">
      <c r="A586" s="1"/>
      <c r="B586" s="1"/>
      <c r="C586" s="1"/>
      <c r="D586" s="1"/>
      <c r="E586" s="1"/>
      <c r="F586" s="1"/>
    </row>
    <row r="587" spans="1:6" x14ac:dyDescent="0.25">
      <c r="A587" s="1"/>
      <c r="B587" s="1"/>
      <c r="C587" s="1"/>
      <c r="D587" s="1"/>
      <c r="E587" s="1"/>
      <c r="F587" s="1"/>
    </row>
    <row r="588" spans="1:6" x14ac:dyDescent="0.25">
      <c r="A588" s="1"/>
      <c r="B588" s="1"/>
      <c r="C588" s="1"/>
      <c r="D588" s="1"/>
      <c r="E588" s="1"/>
      <c r="F588" s="1"/>
    </row>
    <row r="589" spans="1:6" x14ac:dyDescent="0.25">
      <c r="A589" s="1"/>
      <c r="B589" s="1"/>
      <c r="C589" s="1"/>
      <c r="D589" s="1"/>
      <c r="E589" s="1"/>
      <c r="F589" s="1"/>
    </row>
    <row r="590" spans="1:6" x14ac:dyDescent="0.25">
      <c r="A590" s="1"/>
      <c r="B590" s="1"/>
      <c r="C590" s="1"/>
      <c r="D590" s="1"/>
      <c r="E590" s="1"/>
      <c r="F590" s="1"/>
    </row>
    <row r="591" spans="1:6" x14ac:dyDescent="0.25">
      <c r="A591" s="1"/>
      <c r="B591" s="1"/>
      <c r="C591" s="1"/>
      <c r="D591" s="1"/>
      <c r="E591" s="1"/>
      <c r="F591" s="1"/>
    </row>
    <row r="592" spans="1:6" x14ac:dyDescent="0.25">
      <c r="A592" s="1"/>
      <c r="B592" s="1"/>
      <c r="C592" s="1"/>
      <c r="D592" s="1"/>
      <c r="E592" s="1"/>
      <c r="F592" s="1"/>
    </row>
    <row r="593" spans="1:6" x14ac:dyDescent="0.25">
      <c r="A593" s="1"/>
      <c r="B593" s="1"/>
      <c r="C593" s="1"/>
      <c r="D593" s="1"/>
      <c r="E593" s="1"/>
      <c r="F593" s="1"/>
    </row>
    <row r="594" spans="1:6" x14ac:dyDescent="0.25">
      <c r="A594" s="1"/>
      <c r="B594" s="1"/>
      <c r="C594" s="1"/>
      <c r="D594" s="1"/>
      <c r="E594" s="1"/>
      <c r="F594" s="1"/>
    </row>
    <row r="595" spans="1:6" x14ac:dyDescent="0.25">
      <c r="A595" s="1"/>
      <c r="B595" s="1"/>
      <c r="C595" s="1"/>
      <c r="D595" s="1"/>
      <c r="E595" s="1"/>
      <c r="F595" s="1"/>
    </row>
    <row r="596" spans="1:6" x14ac:dyDescent="0.25">
      <c r="A596" s="1"/>
      <c r="B596" s="1"/>
      <c r="C596" s="1"/>
      <c r="D596" s="1"/>
      <c r="E596" s="1"/>
      <c r="F596" s="1"/>
    </row>
    <row r="597" spans="1:6" x14ac:dyDescent="0.25">
      <c r="A597" s="1"/>
      <c r="B597" s="1"/>
      <c r="C597" s="1"/>
      <c r="D597" s="1"/>
      <c r="E597" s="1"/>
      <c r="F597" s="1"/>
    </row>
    <row r="598" spans="1:6" x14ac:dyDescent="0.25">
      <c r="A598" s="1"/>
      <c r="B598" s="1"/>
      <c r="C598" s="1"/>
      <c r="D598" s="1"/>
      <c r="E598" s="1"/>
      <c r="F598" s="1"/>
    </row>
    <row r="599" spans="1:6" x14ac:dyDescent="0.25">
      <c r="A599" s="1"/>
      <c r="B599" s="1"/>
      <c r="C599" s="1"/>
      <c r="D599" s="1"/>
      <c r="E599" s="1"/>
      <c r="F599" s="1"/>
    </row>
    <row r="600" spans="1:6" x14ac:dyDescent="0.25">
      <c r="A600" s="1"/>
      <c r="B600" s="1"/>
      <c r="C600" s="1"/>
      <c r="D600" s="1"/>
      <c r="E600" s="1"/>
      <c r="F600" s="1"/>
    </row>
    <row r="601" spans="1:6" x14ac:dyDescent="0.25">
      <c r="A601" s="1"/>
      <c r="B601" s="1"/>
      <c r="C601" s="1"/>
      <c r="D601" s="1"/>
      <c r="E601" s="1"/>
      <c r="F601" s="1"/>
    </row>
    <row r="602" spans="1:6" x14ac:dyDescent="0.25">
      <c r="A602" s="1"/>
      <c r="B602" s="1"/>
      <c r="C602" s="1"/>
      <c r="D602" s="1"/>
      <c r="E602" s="1"/>
      <c r="F602" s="1"/>
    </row>
    <row r="603" spans="1:6" x14ac:dyDescent="0.25">
      <c r="A603" s="1"/>
      <c r="B603" s="1"/>
      <c r="C603" s="1"/>
      <c r="D603" s="1"/>
      <c r="E603" s="1"/>
      <c r="F603" s="1"/>
    </row>
    <row r="604" spans="1:6" x14ac:dyDescent="0.25">
      <c r="A604" s="1"/>
      <c r="B604" s="1"/>
      <c r="C604" s="1"/>
      <c r="D604" s="1"/>
      <c r="E604" s="1"/>
      <c r="F604" s="1"/>
    </row>
    <row r="605" spans="1:6" x14ac:dyDescent="0.25">
      <c r="A605" s="1"/>
      <c r="B605" s="1"/>
      <c r="C605" s="1"/>
      <c r="D605" s="1"/>
      <c r="E605" s="1"/>
      <c r="F605" s="1"/>
    </row>
    <row r="606" spans="1:6" x14ac:dyDescent="0.25">
      <c r="A606" s="1"/>
      <c r="B606" s="1"/>
      <c r="C606" s="1"/>
      <c r="D606" s="1"/>
      <c r="E606" s="1"/>
      <c r="F606" s="1"/>
    </row>
    <row r="607" spans="1:6" x14ac:dyDescent="0.25">
      <c r="A607" s="1"/>
      <c r="B607" s="1"/>
      <c r="C607" s="1"/>
      <c r="D607" s="1"/>
      <c r="E607" s="1"/>
      <c r="F607" s="1"/>
    </row>
    <row r="608" spans="1:6" x14ac:dyDescent="0.25">
      <c r="A608" s="1"/>
      <c r="B608" s="1"/>
      <c r="C608" s="1"/>
      <c r="D608" s="1"/>
      <c r="E608" s="1"/>
      <c r="F608" s="1"/>
    </row>
    <row r="609" spans="1:6" x14ac:dyDescent="0.25">
      <c r="A609" s="1"/>
      <c r="B609" s="1"/>
      <c r="C609" s="1"/>
      <c r="D609" s="1"/>
      <c r="E609" s="1"/>
      <c r="F609" s="1"/>
    </row>
    <row r="610" spans="1:6" x14ac:dyDescent="0.25">
      <c r="A610" s="1"/>
      <c r="B610" s="1"/>
      <c r="C610" s="1"/>
      <c r="D610" s="1"/>
      <c r="E610" s="1"/>
      <c r="F610" s="1"/>
    </row>
    <row r="611" spans="1:6" x14ac:dyDescent="0.25">
      <c r="A611" s="1"/>
      <c r="B611" s="1"/>
      <c r="C611" s="1"/>
      <c r="D611" s="1"/>
      <c r="E611" s="1"/>
      <c r="F611" s="1"/>
    </row>
    <row r="612" spans="1:6" x14ac:dyDescent="0.25">
      <c r="A612" s="1"/>
      <c r="B612" s="1"/>
      <c r="C612" s="1"/>
      <c r="D612" s="1"/>
      <c r="E612" s="1"/>
      <c r="F612" s="1"/>
    </row>
    <row r="613" spans="1:6" x14ac:dyDescent="0.25">
      <c r="A613" s="1"/>
      <c r="B613" s="1"/>
      <c r="C613" s="1"/>
      <c r="D613" s="1"/>
      <c r="E613" s="1"/>
      <c r="F613" s="1"/>
    </row>
    <row r="614" spans="1:6" x14ac:dyDescent="0.25">
      <c r="A614" s="1"/>
      <c r="B614" s="1"/>
      <c r="C614" s="1"/>
      <c r="D614" s="1"/>
      <c r="E614" s="1"/>
      <c r="F614" s="1"/>
    </row>
    <row r="615" spans="1:6" x14ac:dyDescent="0.25">
      <c r="A615" s="1"/>
      <c r="B615" s="1"/>
      <c r="C615" s="1"/>
      <c r="D615" s="1"/>
      <c r="E615" s="1"/>
      <c r="F615" s="1"/>
    </row>
    <row r="616" spans="1:6" x14ac:dyDescent="0.25">
      <c r="A616" s="1"/>
      <c r="B616" s="1"/>
      <c r="C616" s="1"/>
      <c r="D616" s="1"/>
      <c r="E616" s="1"/>
      <c r="F616" s="1"/>
    </row>
    <row r="617" spans="1:6" x14ac:dyDescent="0.25">
      <c r="A617" s="1"/>
      <c r="B617" s="1"/>
      <c r="C617" s="1"/>
      <c r="D617" s="1"/>
      <c r="E617" s="1"/>
      <c r="F617" s="1"/>
    </row>
    <row r="618" spans="1:6" x14ac:dyDescent="0.25">
      <c r="A618" s="1"/>
      <c r="B618" s="1"/>
      <c r="C618" s="1"/>
      <c r="D618" s="1"/>
      <c r="E618" s="1"/>
      <c r="F618" s="1"/>
    </row>
    <row r="619" spans="1:6" x14ac:dyDescent="0.25">
      <c r="A619" s="1"/>
      <c r="B619" s="1"/>
      <c r="C619" s="1"/>
      <c r="D619" s="1"/>
      <c r="E619" s="1"/>
      <c r="F619" s="1"/>
    </row>
    <row r="620" spans="1:6" x14ac:dyDescent="0.25">
      <c r="A620" s="1"/>
      <c r="B620" s="1"/>
      <c r="C620" s="1"/>
      <c r="D620" s="1"/>
      <c r="E620" s="1"/>
      <c r="F620" s="1"/>
    </row>
    <row r="621" spans="1:6" x14ac:dyDescent="0.25">
      <c r="A621" s="1"/>
      <c r="B621" s="1"/>
      <c r="C621" s="1"/>
      <c r="D621" s="1"/>
      <c r="E621" s="1"/>
      <c r="F621" s="1"/>
    </row>
    <row r="622" spans="1:6" x14ac:dyDescent="0.25">
      <c r="A622" s="1"/>
      <c r="B622" s="1"/>
      <c r="C622" s="1"/>
      <c r="D622" s="1"/>
      <c r="E622" s="1"/>
      <c r="F622" s="1"/>
    </row>
    <row r="623" spans="1:6" x14ac:dyDescent="0.25">
      <c r="A623" s="1"/>
      <c r="B623" s="1"/>
      <c r="C623" s="1"/>
      <c r="D623" s="1"/>
      <c r="E623" s="1"/>
      <c r="F623" s="1"/>
    </row>
    <row r="624" spans="1:6" x14ac:dyDescent="0.25">
      <c r="A624" s="1"/>
      <c r="B624" s="1"/>
      <c r="C624" s="1"/>
      <c r="D624" s="1"/>
      <c r="E624" s="1"/>
      <c r="F624" s="1"/>
    </row>
    <row r="625" spans="1:6" x14ac:dyDescent="0.25">
      <c r="A625" s="1"/>
      <c r="B625" s="1"/>
      <c r="C625" s="1"/>
      <c r="D625" s="1"/>
      <c r="E625" s="1"/>
      <c r="F625" s="1"/>
    </row>
    <row r="626" spans="1:6" x14ac:dyDescent="0.25">
      <c r="A626" s="1"/>
      <c r="B626" s="1"/>
      <c r="C626" s="1"/>
      <c r="D626" s="1"/>
      <c r="E626" s="1"/>
      <c r="F626" s="1"/>
    </row>
    <row r="627" spans="1:6" x14ac:dyDescent="0.25">
      <c r="A627" s="1"/>
      <c r="B627" s="1"/>
      <c r="C627" s="1"/>
      <c r="D627" s="1"/>
      <c r="E627" s="1"/>
      <c r="F627" s="1"/>
    </row>
    <row r="628" spans="1:6" x14ac:dyDescent="0.25">
      <c r="A628" s="1"/>
      <c r="B628" s="1"/>
      <c r="C628" s="1"/>
      <c r="D628" s="1"/>
      <c r="E628" s="1"/>
      <c r="F628" s="1"/>
    </row>
    <row r="629" spans="1:6" x14ac:dyDescent="0.25">
      <c r="A629" s="1"/>
      <c r="B629" s="1"/>
      <c r="C629" s="1"/>
      <c r="D629" s="1"/>
      <c r="E629" s="1"/>
      <c r="F629" s="1"/>
    </row>
    <row r="630" spans="1:6" x14ac:dyDescent="0.25">
      <c r="A630" s="1"/>
      <c r="B630" s="1"/>
      <c r="C630" s="1"/>
      <c r="D630" s="1"/>
      <c r="E630" s="1"/>
      <c r="F630" s="1"/>
    </row>
    <row r="631" spans="1:6" x14ac:dyDescent="0.25">
      <c r="A631" s="1"/>
      <c r="B631" s="1"/>
      <c r="C631" s="1"/>
      <c r="D631" s="1"/>
      <c r="E631" s="1"/>
      <c r="F631" s="1"/>
    </row>
    <row r="632" spans="1:6" x14ac:dyDescent="0.25">
      <c r="A632" s="1"/>
      <c r="B632" s="1"/>
      <c r="C632" s="1"/>
      <c r="D632" s="1"/>
      <c r="E632" s="1"/>
      <c r="F632" s="1"/>
    </row>
    <row r="633" spans="1:6" x14ac:dyDescent="0.25">
      <c r="A633" s="1"/>
      <c r="B633" s="1"/>
      <c r="C633" s="1"/>
      <c r="D633" s="1"/>
      <c r="E633" s="1"/>
      <c r="F633" s="1"/>
    </row>
    <row r="634" spans="1:6" x14ac:dyDescent="0.25">
      <c r="A634" s="1"/>
      <c r="B634" s="1"/>
      <c r="C634" s="1"/>
      <c r="D634" s="1"/>
      <c r="E634" s="1"/>
      <c r="F634" s="1"/>
    </row>
    <row r="635" spans="1:6" x14ac:dyDescent="0.25">
      <c r="A635" s="1"/>
      <c r="B635" s="1"/>
      <c r="C635" s="1"/>
      <c r="D635" s="1"/>
      <c r="E635" s="1"/>
      <c r="F635" s="1"/>
    </row>
    <row r="636" spans="1:6" x14ac:dyDescent="0.25">
      <c r="A636" s="1"/>
      <c r="B636" s="1"/>
      <c r="C636" s="1"/>
      <c r="D636" s="1"/>
      <c r="E636" s="1"/>
      <c r="F636" s="1"/>
    </row>
    <row r="637" spans="1:6" x14ac:dyDescent="0.25">
      <c r="A637" s="1"/>
      <c r="B637" s="1"/>
      <c r="C637" s="1"/>
      <c r="D637" s="1"/>
      <c r="E637" s="1"/>
      <c r="F637" s="1"/>
    </row>
    <row r="638" spans="1:6" x14ac:dyDescent="0.25">
      <c r="A638" s="1"/>
      <c r="B638" s="1"/>
      <c r="C638" s="1"/>
      <c r="D638" s="1"/>
      <c r="E638" s="1"/>
      <c r="F638" s="1"/>
    </row>
    <row r="639" spans="1:6" x14ac:dyDescent="0.25">
      <c r="A639" s="1"/>
      <c r="B639" s="1"/>
      <c r="C639" s="1"/>
      <c r="D639" s="1"/>
      <c r="E639" s="1"/>
      <c r="F639" s="1"/>
    </row>
    <row r="640" spans="1:6" x14ac:dyDescent="0.25">
      <c r="A640" s="1"/>
      <c r="B640" s="1"/>
      <c r="C640" s="1"/>
      <c r="D640" s="1"/>
      <c r="E640" s="1"/>
      <c r="F640" s="1"/>
    </row>
    <row r="641" spans="1:6" x14ac:dyDescent="0.25">
      <c r="A641" s="1"/>
      <c r="B641" s="1"/>
      <c r="C641" s="1"/>
      <c r="D641" s="1"/>
      <c r="E641" s="1"/>
      <c r="F641" s="1"/>
    </row>
    <row r="642" spans="1:6" x14ac:dyDescent="0.25">
      <c r="A642" s="1"/>
      <c r="B642" s="1"/>
      <c r="C642" s="1"/>
      <c r="D642" s="1"/>
      <c r="E642" s="1"/>
      <c r="F642" s="1"/>
    </row>
    <row r="643" spans="1:6" x14ac:dyDescent="0.25">
      <c r="A643" s="1"/>
      <c r="B643" s="1"/>
      <c r="C643" s="1"/>
      <c r="D643" s="1"/>
      <c r="E643" s="1"/>
      <c r="F643" s="1"/>
    </row>
    <row r="644" spans="1:6" x14ac:dyDescent="0.25">
      <c r="A644" s="1"/>
      <c r="B644" s="1"/>
      <c r="C644" s="1"/>
      <c r="D644" s="1"/>
      <c r="E644" s="1"/>
      <c r="F644" s="1"/>
    </row>
    <row r="645" spans="1:6" x14ac:dyDescent="0.25">
      <c r="A645" s="1"/>
      <c r="B645" s="1"/>
      <c r="C645" s="1"/>
      <c r="D645" s="1"/>
      <c r="E645" s="1"/>
      <c r="F645" s="1"/>
    </row>
    <row r="646" spans="1:6" x14ac:dyDescent="0.25">
      <c r="A646" s="1"/>
      <c r="B646" s="1"/>
      <c r="C646" s="1"/>
      <c r="D646" s="1"/>
      <c r="E646" s="1"/>
      <c r="F646" s="1"/>
    </row>
    <row r="647" spans="1:6" x14ac:dyDescent="0.25">
      <c r="A647" s="1"/>
      <c r="B647" s="1"/>
      <c r="C647" s="1"/>
      <c r="D647" s="1"/>
      <c r="E647" s="1"/>
      <c r="F647" s="1"/>
    </row>
    <row r="648" spans="1:6" x14ac:dyDescent="0.25">
      <c r="A648" s="1"/>
      <c r="B648" s="1"/>
      <c r="C648" s="1"/>
      <c r="D648" s="1"/>
      <c r="E648" s="1"/>
      <c r="F648" s="1"/>
    </row>
    <row r="649" spans="1:6" x14ac:dyDescent="0.25">
      <c r="A649" s="1"/>
      <c r="B649" s="1"/>
      <c r="C649" s="1"/>
      <c r="D649" s="1"/>
      <c r="E649" s="1"/>
      <c r="F649" s="1"/>
    </row>
    <row r="650" spans="1:6" x14ac:dyDescent="0.25">
      <c r="A650" s="1"/>
      <c r="B650" s="1"/>
      <c r="C650" s="1"/>
      <c r="D650" s="1"/>
      <c r="E650" s="1"/>
      <c r="F650" s="1"/>
    </row>
    <row r="651" spans="1:6" x14ac:dyDescent="0.25">
      <c r="A651" s="1"/>
      <c r="B651" s="1"/>
      <c r="C651" s="1"/>
      <c r="D651" s="1"/>
      <c r="E651" s="1"/>
      <c r="F651" s="1"/>
    </row>
    <row r="652" spans="1:6" x14ac:dyDescent="0.25">
      <c r="A652" s="1"/>
      <c r="B652" s="1"/>
      <c r="C652" s="1"/>
      <c r="D652" s="1"/>
      <c r="E652" s="1"/>
      <c r="F652" s="1"/>
    </row>
    <row r="653" spans="1:6" x14ac:dyDescent="0.25">
      <c r="A653" s="1"/>
      <c r="B653" s="1"/>
      <c r="C653" s="1"/>
      <c r="D653" s="1"/>
      <c r="E653" s="1"/>
      <c r="F653" s="1"/>
    </row>
    <row r="654" spans="1:6" x14ac:dyDescent="0.25">
      <c r="A654" s="1"/>
      <c r="B654" s="1"/>
      <c r="C654" s="1"/>
      <c r="D654" s="1"/>
      <c r="E654" s="1"/>
      <c r="F654" s="1"/>
    </row>
    <row r="655" spans="1:6" x14ac:dyDescent="0.25">
      <c r="A655" s="1"/>
      <c r="B655" s="1"/>
      <c r="C655" s="1"/>
      <c r="D655" s="1"/>
      <c r="E655" s="1"/>
      <c r="F655" s="1"/>
    </row>
    <row r="656" spans="1:6" x14ac:dyDescent="0.25">
      <c r="A656" s="1"/>
      <c r="B656" s="1"/>
      <c r="C656" s="1"/>
      <c r="D656" s="1"/>
      <c r="E656" s="1"/>
      <c r="F656" s="1"/>
    </row>
    <row r="657" spans="1:6" x14ac:dyDescent="0.25">
      <c r="A657" s="1"/>
      <c r="B657" s="1"/>
      <c r="C657" s="1"/>
      <c r="D657" s="1"/>
      <c r="E657" s="1"/>
      <c r="F657" s="1"/>
    </row>
    <row r="658" spans="1:6" x14ac:dyDescent="0.25">
      <c r="A658" s="1"/>
      <c r="B658" s="1"/>
      <c r="C658" s="1"/>
      <c r="D658" s="1"/>
      <c r="E658" s="1"/>
      <c r="F658" s="1"/>
    </row>
    <row r="659" spans="1:6" x14ac:dyDescent="0.25">
      <c r="A659" s="1"/>
      <c r="B659" s="1"/>
      <c r="C659" s="1"/>
      <c r="D659" s="1"/>
      <c r="E659" s="1"/>
      <c r="F659" s="1"/>
    </row>
    <row r="660" spans="1:6" x14ac:dyDescent="0.25">
      <c r="A660" s="1"/>
      <c r="B660" s="1"/>
      <c r="C660" s="1"/>
      <c r="D660" s="1"/>
      <c r="E660" s="1"/>
      <c r="F660" s="1"/>
    </row>
    <row r="661" spans="1:6" x14ac:dyDescent="0.25">
      <c r="A661" s="1"/>
      <c r="B661" s="1"/>
      <c r="C661" s="1"/>
      <c r="D661" s="1"/>
      <c r="E661" s="1"/>
      <c r="F661" s="1"/>
    </row>
    <row r="662" spans="1:6" x14ac:dyDescent="0.25">
      <c r="A662" s="1"/>
      <c r="B662" s="1"/>
      <c r="C662" s="1"/>
      <c r="D662" s="1"/>
      <c r="E662" s="1"/>
      <c r="F662" s="1"/>
    </row>
    <row r="663" spans="1:6" x14ac:dyDescent="0.25">
      <c r="A663" s="1"/>
      <c r="B663" s="1"/>
      <c r="C663" s="1"/>
      <c r="D663" s="1"/>
      <c r="E663" s="1"/>
      <c r="F663" s="1"/>
    </row>
    <row r="664" spans="1:6" x14ac:dyDescent="0.25">
      <c r="A664" s="1"/>
      <c r="B664" s="1"/>
      <c r="C664" s="1"/>
      <c r="D664" s="1"/>
      <c r="E664" s="1"/>
      <c r="F664" s="1"/>
    </row>
    <row r="665" spans="1:6" x14ac:dyDescent="0.25">
      <c r="A665" s="1"/>
      <c r="B665" s="1"/>
      <c r="C665" s="1"/>
      <c r="D665" s="1"/>
      <c r="E665" s="1"/>
      <c r="F665" s="1"/>
    </row>
    <row r="666" spans="1:6" x14ac:dyDescent="0.25">
      <c r="A666" s="1"/>
      <c r="B666" s="1"/>
      <c r="C666" s="1"/>
      <c r="D666" s="1"/>
      <c r="E666" s="1"/>
      <c r="F666" s="1"/>
    </row>
    <row r="667" spans="1:6" x14ac:dyDescent="0.25">
      <c r="A667" s="1"/>
      <c r="B667" s="1"/>
      <c r="C667" s="1"/>
      <c r="D667" s="1"/>
      <c r="E667" s="1"/>
      <c r="F667" s="1"/>
    </row>
    <row r="668" spans="1:6" x14ac:dyDescent="0.25">
      <c r="A668" s="1"/>
      <c r="B668" s="1"/>
      <c r="C668" s="1"/>
      <c r="D668" s="1"/>
      <c r="E668" s="1"/>
      <c r="F668" s="1"/>
    </row>
    <row r="669" spans="1:6" x14ac:dyDescent="0.25">
      <c r="A669" s="1"/>
      <c r="B669" s="1"/>
      <c r="C669" s="1"/>
      <c r="D669" s="1"/>
      <c r="E669" s="1"/>
      <c r="F669" s="1"/>
    </row>
    <row r="670" spans="1:6" x14ac:dyDescent="0.25">
      <c r="A670" s="1"/>
      <c r="B670" s="1"/>
      <c r="C670" s="1"/>
      <c r="D670" s="1"/>
      <c r="E670" s="1"/>
      <c r="F670" s="1"/>
    </row>
    <row r="671" spans="1:6" x14ac:dyDescent="0.25">
      <c r="A671" s="1"/>
      <c r="B671" s="1"/>
      <c r="C671" s="1"/>
      <c r="D671" s="1"/>
      <c r="E671" s="1"/>
      <c r="F671" s="1"/>
    </row>
    <row r="672" spans="1:6" x14ac:dyDescent="0.25">
      <c r="A672" s="1"/>
      <c r="B672" s="1"/>
      <c r="C672" s="1"/>
      <c r="D672" s="1"/>
      <c r="E672" s="1"/>
      <c r="F672" s="1"/>
    </row>
    <row r="673" spans="1:6" x14ac:dyDescent="0.25">
      <c r="A673" s="1"/>
      <c r="B673" s="1"/>
      <c r="C673" s="1"/>
      <c r="D673" s="1"/>
      <c r="E673" s="1"/>
      <c r="F673" s="1"/>
    </row>
    <row r="674" spans="1:6" x14ac:dyDescent="0.25">
      <c r="A674" s="1"/>
      <c r="B674" s="1"/>
      <c r="C674" s="1"/>
      <c r="D674" s="1"/>
      <c r="E674" s="1"/>
      <c r="F674" s="1"/>
    </row>
    <row r="675" spans="1:6" x14ac:dyDescent="0.25">
      <c r="A675" s="1"/>
      <c r="B675" s="1"/>
      <c r="C675" s="1"/>
      <c r="D675" s="1"/>
      <c r="E675" s="1"/>
      <c r="F675" s="1"/>
    </row>
    <row r="676" spans="1:6" x14ac:dyDescent="0.25">
      <c r="A676" s="1"/>
      <c r="B676" s="1"/>
      <c r="C676" s="1"/>
      <c r="D676" s="1"/>
      <c r="E676" s="1"/>
      <c r="F676" s="1"/>
    </row>
    <row r="677" spans="1:6" x14ac:dyDescent="0.25">
      <c r="A677" s="1"/>
      <c r="B677" s="1"/>
      <c r="C677" s="1"/>
      <c r="D677" s="1"/>
      <c r="E677" s="1"/>
      <c r="F677" s="1"/>
    </row>
    <row r="678" spans="1:6" x14ac:dyDescent="0.25">
      <c r="A678" s="1"/>
      <c r="B678" s="1"/>
      <c r="C678" s="1"/>
      <c r="D678" s="1"/>
      <c r="E678" s="1"/>
      <c r="F678" s="1"/>
    </row>
    <row r="679" spans="1:6" x14ac:dyDescent="0.25">
      <c r="A679" s="1"/>
      <c r="B679" s="1"/>
      <c r="C679" s="1"/>
      <c r="D679" s="1"/>
      <c r="E679" s="1"/>
      <c r="F679" s="1"/>
    </row>
    <row r="680" spans="1:6" x14ac:dyDescent="0.25">
      <c r="A680" s="1"/>
      <c r="B680" s="1"/>
      <c r="C680" s="1"/>
      <c r="D680" s="1"/>
      <c r="E680" s="1"/>
      <c r="F680" s="1"/>
    </row>
    <row r="681" spans="1:6" x14ac:dyDescent="0.25">
      <c r="A681" s="1"/>
      <c r="B681" s="1"/>
      <c r="C681" s="1"/>
      <c r="D681" s="1"/>
      <c r="E681" s="1"/>
      <c r="F681" s="1"/>
    </row>
    <row r="682" spans="1:6" x14ac:dyDescent="0.25">
      <c r="A682" s="1"/>
      <c r="B682" s="1"/>
      <c r="C682" s="1"/>
      <c r="D682" s="1"/>
      <c r="E682" s="1"/>
      <c r="F682" s="1"/>
    </row>
    <row r="683" spans="1:6" x14ac:dyDescent="0.25">
      <c r="A683" s="1"/>
      <c r="B683" s="1"/>
      <c r="C683" s="1"/>
      <c r="D683" s="1"/>
      <c r="E683" s="1"/>
      <c r="F683" s="1"/>
    </row>
    <row r="684" spans="1:6" x14ac:dyDescent="0.25">
      <c r="A684" s="1"/>
      <c r="B684" s="1"/>
      <c r="C684" s="1"/>
      <c r="D684" s="1"/>
      <c r="E684" s="1"/>
      <c r="F684" s="1"/>
    </row>
    <row r="685" spans="1:6" x14ac:dyDescent="0.25">
      <c r="A685" s="1"/>
      <c r="B685" s="1"/>
      <c r="C685" s="1"/>
      <c r="D685" s="1"/>
      <c r="E685" s="1"/>
      <c r="F685" s="1"/>
    </row>
    <row r="686" spans="1:6" x14ac:dyDescent="0.25">
      <c r="A686" s="1"/>
      <c r="B686" s="1"/>
      <c r="C686" s="1"/>
      <c r="D686" s="1"/>
      <c r="E686" s="1"/>
      <c r="F686" s="1"/>
    </row>
    <row r="687" spans="1:6" x14ac:dyDescent="0.25">
      <c r="A687" s="1"/>
      <c r="B687" s="1"/>
      <c r="C687" s="1"/>
      <c r="D687" s="1"/>
      <c r="E687" s="1"/>
      <c r="F687" s="1"/>
    </row>
    <row r="688" spans="1:6" x14ac:dyDescent="0.25">
      <c r="A688" s="1"/>
      <c r="B688" s="1"/>
      <c r="C688" s="1"/>
      <c r="D688" s="1"/>
      <c r="E688" s="1"/>
      <c r="F688" s="1"/>
    </row>
    <row r="689" spans="1:6" x14ac:dyDescent="0.25">
      <c r="A689" s="1"/>
      <c r="B689" s="1"/>
      <c r="C689" s="1"/>
      <c r="D689" s="1"/>
      <c r="E689" s="1"/>
      <c r="F689" s="1"/>
    </row>
    <row r="690" spans="1:6" x14ac:dyDescent="0.25">
      <c r="A690" s="1"/>
      <c r="B690" s="1"/>
      <c r="C690" s="1"/>
      <c r="D690" s="1"/>
      <c r="E690" s="1"/>
      <c r="F690" s="1"/>
    </row>
    <row r="691" spans="1:6" x14ac:dyDescent="0.25">
      <c r="A691" s="1"/>
      <c r="B691" s="1"/>
      <c r="C691" s="1"/>
      <c r="D691" s="1"/>
      <c r="E691" s="1"/>
      <c r="F691" s="1"/>
    </row>
    <row r="692" spans="1:6" x14ac:dyDescent="0.25">
      <c r="A692" s="1"/>
      <c r="B692" s="1"/>
      <c r="C692" s="1"/>
      <c r="D692" s="1"/>
      <c r="E692" s="1"/>
      <c r="F692" s="1"/>
    </row>
    <row r="693" spans="1:6" x14ac:dyDescent="0.25">
      <c r="A693" s="1"/>
      <c r="B693" s="1"/>
      <c r="C693" s="1"/>
      <c r="D693" s="1"/>
      <c r="E693" s="1"/>
      <c r="F693" s="1"/>
    </row>
    <row r="694" spans="1:6" x14ac:dyDescent="0.25">
      <c r="A694" s="1"/>
      <c r="B694" s="1"/>
      <c r="C694" s="1"/>
      <c r="D694" s="1"/>
      <c r="E694" s="1"/>
      <c r="F694" s="1"/>
    </row>
    <row r="695" spans="1:6" x14ac:dyDescent="0.25">
      <c r="A695" s="1"/>
      <c r="B695" s="1"/>
      <c r="C695" s="1"/>
      <c r="D695" s="1"/>
      <c r="E695" s="1"/>
      <c r="F695" s="1"/>
    </row>
    <row r="696" spans="1:6" x14ac:dyDescent="0.25">
      <c r="A696" s="1"/>
      <c r="B696" s="1"/>
      <c r="C696" s="1"/>
      <c r="D696" s="1"/>
      <c r="E696" s="1"/>
      <c r="F696" s="1"/>
    </row>
    <row r="697" spans="1:6" x14ac:dyDescent="0.25">
      <c r="A697" s="1"/>
      <c r="B697" s="1"/>
      <c r="C697" s="1"/>
      <c r="D697" s="1"/>
      <c r="E697" s="1"/>
      <c r="F697" s="1"/>
    </row>
    <row r="698" spans="1:6" x14ac:dyDescent="0.25">
      <c r="A698" s="1"/>
      <c r="B698" s="1"/>
      <c r="C698" s="1"/>
      <c r="D698" s="1"/>
      <c r="E698" s="1"/>
      <c r="F698" s="1"/>
    </row>
    <row r="699" spans="1:6" x14ac:dyDescent="0.25">
      <c r="A699" s="1"/>
      <c r="B699" s="1"/>
      <c r="C699" s="1"/>
      <c r="D699" s="1"/>
      <c r="E699" s="1"/>
      <c r="F699" s="1"/>
    </row>
    <row r="700" spans="1:6" x14ac:dyDescent="0.25">
      <c r="A700" s="1"/>
      <c r="B700" s="1"/>
      <c r="C700" s="1"/>
      <c r="D700" s="1"/>
      <c r="E700" s="1"/>
      <c r="F700" s="1"/>
    </row>
    <row r="701" spans="1:6" x14ac:dyDescent="0.25">
      <c r="A701" s="1"/>
      <c r="B701" s="1"/>
      <c r="C701" s="1"/>
      <c r="D701" s="1"/>
      <c r="E701" s="1"/>
      <c r="F701" s="1"/>
    </row>
    <row r="702" spans="1:6" x14ac:dyDescent="0.25">
      <c r="A702" s="1"/>
      <c r="B702" s="1"/>
      <c r="C702" s="1"/>
      <c r="D702" s="1"/>
      <c r="E702" s="1"/>
      <c r="F702" s="1"/>
    </row>
    <row r="703" spans="1:6" x14ac:dyDescent="0.25">
      <c r="A703" s="1"/>
      <c r="B703" s="1"/>
      <c r="C703" s="1"/>
      <c r="D703" s="1"/>
      <c r="E703" s="1"/>
      <c r="F703" s="1"/>
    </row>
    <row r="704" spans="1:6" x14ac:dyDescent="0.25">
      <c r="A704" s="1"/>
      <c r="B704" s="1"/>
      <c r="C704" s="1"/>
      <c r="D704" s="1"/>
      <c r="E704" s="1"/>
      <c r="F704" s="1"/>
    </row>
    <row r="705" spans="1:6" x14ac:dyDescent="0.25">
      <c r="A705" s="1"/>
      <c r="B705" s="1"/>
      <c r="C705" s="1"/>
      <c r="D705" s="1"/>
      <c r="E705" s="1"/>
      <c r="F705" s="1"/>
    </row>
    <row r="706" spans="1:6" x14ac:dyDescent="0.25">
      <c r="A706" s="1"/>
      <c r="B706" s="1"/>
      <c r="C706" s="1"/>
      <c r="D706" s="1"/>
      <c r="E706" s="1"/>
      <c r="F706" s="1"/>
    </row>
    <row r="707" spans="1:6" x14ac:dyDescent="0.25">
      <c r="A707" s="1"/>
      <c r="B707" s="1"/>
      <c r="C707" s="1"/>
      <c r="D707" s="1"/>
      <c r="E707" s="1"/>
      <c r="F707" s="1"/>
    </row>
    <row r="708" spans="1:6" x14ac:dyDescent="0.25">
      <c r="A708" s="1"/>
      <c r="B708" s="1"/>
      <c r="C708" s="1"/>
      <c r="D708" s="1"/>
      <c r="E708" s="1"/>
      <c r="F708" s="1"/>
    </row>
    <row r="709" spans="1:6" x14ac:dyDescent="0.25">
      <c r="A709" s="1"/>
      <c r="B709" s="1"/>
      <c r="C709" s="1"/>
      <c r="D709" s="1"/>
      <c r="E709" s="1"/>
      <c r="F709" s="1"/>
    </row>
    <row r="710" spans="1:6" x14ac:dyDescent="0.25">
      <c r="A710" s="1"/>
      <c r="B710" s="1"/>
      <c r="C710" s="1"/>
      <c r="D710" s="1"/>
      <c r="E710" s="1"/>
      <c r="F710" s="1"/>
    </row>
    <row r="711" spans="1:6" x14ac:dyDescent="0.25">
      <c r="A711" s="1"/>
      <c r="B711" s="1"/>
      <c r="C711" s="1"/>
      <c r="D711" s="1"/>
      <c r="E711" s="1"/>
      <c r="F711" s="1"/>
    </row>
    <row r="712" spans="1:6" x14ac:dyDescent="0.25">
      <c r="A712" s="1"/>
      <c r="B712" s="1"/>
      <c r="C712" s="1"/>
      <c r="D712" s="1"/>
      <c r="E712" s="1"/>
      <c r="F712" s="1"/>
    </row>
    <row r="713" spans="1:6" x14ac:dyDescent="0.25">
      <c r="A713" s="1"/>
      <c r="B713" s="1"/>
      <c r="C713" s="1"/>
      <c r="D713" s="1"/>
      <c r="E713" s="1"/>
      <c r="F713" s="1"/>
    </row>
    <row r="714" spans="1:6" x14ac:dyDescent="0.25">
      <c r="A714" s="1"/>
      <c r="B714" s="1"/>
      <c r="C714" s="1"/>
      <c r="D714" s="1"/>
      <c r="E714" s="1"/>
      <c r="F714" s="1"/>
    </row>
    <row r="715" spans="1:6" x14ac:dyDescent="0.25">
      <c r="A715" s="1"/>
      <c r="B715" s="1"/>
      <c r="C715" s="1"/>
      <c r="D715" s="1"/>
      <c r="E715" s="1"/>
      <c r="F715" s="1"/>
    </row>
    <row r="716" spans="1:6" x14ac:dyDescent="0.25">
      <c r="A716" s="1"/>
      <c r="B716" s="1"/>
      <c r="C716" s="1"/>
      <c r="D716" s="1"/>
      <c r="E716" s="1"/>
      <c r="F716" s="1"/>
    </row>
    <row r="717" spans="1:6" x14ac:dyDescent="0.25">
      <c r="A717" s="1"/>
      <c r="B717" s="1"/>
      <c r="C717" s="1"/>
      <c r="D717" s="1"/>
      <c r="E717" s="1"/>
      <c r="F717" s="1"/>
    </row>
    <row r="718" spans="1:6" x14ac:dyDescent="0.25">
      <c r="A718" s="1"/>
      <c r="B718" s="1"/>
      <c r="C718" s="1"/>
      <c r="D718" s="1"/>
      <c r="E718" s="1"/>
      <c r="F718" s="1"/>
    </row>
    <row r="719" spans="1:6" x14ac:dyDescent="0.25">
      <c r="A719" s="1"/>
      <c r="B719" s="1"/>
      <c r="C719" s="1"/>
      <c r="D719" s="1"/>
      <c r="E719" s="1"/>
      <c r="F719" s="1"/>
    </row>
    <row r="720" spans="1:6" x14ac:dyDescent="0.25">
      <c r="A720" s="1"/>
      <c r="B720" s="1"/>
      <c r="C720" s="1"/>
      <c r="D720" s="1"/>
      <c r="E720" s="1"/>
      <c r="F720" s="1"/>
    </row>
    <row r="721" spans="1:6" x14ac:dyDescent="0.25">
      <c r="A721" s="1"/>
      <c r="B721" s="1"/>
      <c r="C721" s="1"/>
      <c r="D721" s="1"/>
      <c r="E721" s="1"/>
      <c r="F721" s="1"/>
    </row>
    <row r="722" spans="1:6" x14ac:dyDescent="0.25">
      <c r="A722" s="1"/>
      <c r="B722" s="1"/>
      <c r="C722" s="1"/>
      <c r="D722" s="1"/>
      <c r="E722" s="1"/>
      <c r="F722" s="1"/>
    </row>
    <row r="723" spans="1:6" x14ac:dyDescent="0.25">
      <c r="A723" s="1"/>
      <c r="B723" s="1"/>
      <c r="C723" s="1"/>
      <c r="D723" s="1"/>
      <c r="E723" s="1"/>
      <c r="F723" s="1"/>
    </row>
    <row r="724" spans="1:6" x14ac:dyDescent="0.25">
      <c r="A724" s="1"/>
      <c r="B724" s="1"/>
      <c r="C724" s="1"/>
      <c r="D724" s="1"/>
      <c r="E724" s="1"/>
      <c r="F724" s="1"/>
    </row>
    <row r="725" spans="1:6" x14ac:dyDescent="0.25">
      <c r="A725" s="1"/>
      <c r="B725" s="1"/>
      <c r="C725" s="1"/>
      <c r="D725" s="1"/>
      <c r="E725" s="1"/>
      <c r="F725" s="1"/>
    </row>
    <row r="726" spans="1:6" x14ac:dyDescent="0.25">
      <c r="A726" s="1"/>
      <c r="B726" s="1"/>
      <c r="C726" s="1"/>
      <c r="D726" s="1"/>
      <c r="E726" s="1"/>
      <c r="F726" s="1"/>
    </row>
    <row r="727" spans="1:6" x14ac:dyDescent="0.25">
      <c r="A727" s="1"/>
      <c r="B727" s="1"/>
      <c r="C727" s="1"/>
      <c r="D727" s="1"/>
      <c r="E727" s="1"/>
      <c r="F727" s="1"/>
    </row>
    <row r="728" spans="1:6" x14ac:dyDescent="0.25">
      <c r="A728" s="1"/>
      <c r="B728" s="1"/>
      <c r="C728" s="1"/>
      <c r="D728" s="1"/>
      <c r="E728" s="1"/>
      <c r="F728" s="1"/>
    </row>
    <row r="729" spans="1:6" x14ac:dyDescent="0.25">
      <c r="A729" s="1"/>
      <c r="B729" s="1"/>
      <c r="C729" s="1"/>
      <c r="D729" s="1"/>
      <c r="E729" s="1"/>
      <c r="F729" s="1"/>
    </row>
    <row r="730" spans="1:6" x14ac:dyDescent="0.25">
      <c r="A730" s="1"/>
      <c r="B730" s="1"/>
      <c r="C730" s="1"/>
      <c r="D730" s="1"/>
      <c r="E730" s="1"/>
      <c r="F730" s="1"/>
    </row>
    <row r="731" spans="1:6" x14ac:dyDescent="0.25">
      <c r="A731" s="1"/>
      <c r="B731" s="1"/>
      <c r="C731" s="1"/>
      <c r="D731" s="1"/>
      <c r="E731" s="1"/>
      <c r="F731" s="1"/>
    </row>
    <row r="732" spans="1:6" x14ac:dyDescent="0.25">
      <c r="A732" s="1"/>
      <c r="B732" s="1"/>
      <c r="C732" s="1"/>
      <c r="D732" s="1"/>
      <c r="E732" s="1"/>
      <c r="F732" s="1"/>
    </row>
    <row r="733" spans="1:6" x14ac:dyDescent="0.25">
      <c r="A733" s="1"/>
      <c r="B733" s="1"/>
      <c r="C733" s="1"/>
      <c r="D733" s="1"/>
      <c r="E733" s="1"/>
      <c r="F733" s="1"/>
    </row>
    <row r="734" spans="1:6" x14ac:dyDescent="0.25">
      <c r="A734" s="1"/>
      <c r="B734" s="1"/>
      <c r="C734" s="1"/>
      <c r="D734" s="1"/>
      <c r="E734" s="1"/>
      <c r="F734" s="1"/>
    </row>
    <row r="735" spans="1:6" x14ac:dyDescent="0.25">
      <c r="A735" s="1"/>
      <c r="B735" s="1"/>
      <c r="C735" s="1"/>
      <c r="D735" s="1"/>
      <c r="E735" s="1"/>
      <c r="F735" s="1"/>
    </row>
    <row r="736" spans="1:6" x14ac:dyDescent="0.25">
      <c r="A736" s="1"/>
      <c r="B736" s="1"/>
      <c r="C736" s="1"/>
      <c r="D736" s="1"/>
      <c r="E736" s="1"/>
      <c r="F736" s="1"/>
    </row>
    <row r="737" spans="1:6" x14ac:dyDescent="0.25">
      <c r="A737" s="1"/>
      <c r="B737" s="1"/>
      <c r="C737" s="1"/>
      <c r="D737" s="1"/>
      <c r="E737" s="1"/>
      <c r="F737" s="1"/>
    </row>
    <row r="738" spans="1:6" x14ac:dyDescent="0.25">
      <c r="A738" s="1"/>
      <c r="B738" s="1"/>
      <c r="C738" s="1"/>
      <c r="D738" s="1"/>
      <c r="E738" s="1"/>
      <c r="F738" s="1"/>
    </row>
    <row r="739" spans="1:6" x14ac:dyDescent="0.25">
      <c r="A739" s="1"/>
      <c r="B739" s="1"/>
      <c r="C739" s="1"/>
      <c r="D739" s="1"/>
      <c r="E739" s="1"/>
      <c r="F739" s="1"/>
    </row>
    <row r="740" spans="1:6" x14ac:dyDescent="0.25">
      <c r="A740" s="1"/>
      <c r="B740" s="1"/>
      <c r="C740" s="1"/>
      <c r="D740" s="1"/>
      <c r="E740" s="1"/>
      <c r="F740" s="1"/>
    </row>
    <row r="741" spans="1:6" x14ac:dyDescent="0.25">
      <c r="A741" s="1"/>
      <c r="B741" s="1"/>
      <c r="C741" s="1"/>
      <c r="D741" s="1"/>
      <c r="E741" s="1"/>
      <c r="F741" s="1"/>
    </row>
    <row r="742" spans="1:6" x14ac:dyDescent="0.25">
      <c r="A742" s="1"/>
      <c r="B742" s="1"/>
      <c r="C742" s="1"/>
      <c r="D742" s="1"/>
      <c r="E742" s="1"/>
      <c r="F742" s="1"/>
    </row>
    <row r="743" spans="1:6" x14ac:dyDescent="0.25">
      <c r="A743" s="1"/>
      <c r="B743" s="1"/>
      <c r="C743" s="1"/>
      <c r="D743" s="1"/>
      <c r="E743" s="1"/>
      <c r="F743" s="1"/>
    </row>
    <row r="744" spans="1:6" x14ac:dyDescent="0.25">
      <c r="A744" s="1"/>
      <c r="B744" s="1"/>
      <c r="C744" s="1"/>
      <c r="D744" s="1"/>
      <c r="E744" s="1"/>
      <c r="F744" s="1"/>
    </row>
    <row r="745" spans="1:6" x14ac:dyDescent="0.25">
      <c r="A745" s="1"/>
      <c r="B745" s="1"/>
      <c r="C745" s="1"/>
      <c r="D745" s="1"/>
      <c r="E745" s="1"/>
      <c r="F745" s="1"/>
    </row>
    <row r="746" spans="1:6" x14ac:dyDescent="0.25">
      <c r="A746" s="1"/>
      <c r="B746" s="1"/>
      <c r="C746" s="1"/>
      <c r="D746" s="1"/>
      <c r="E746" s="1"/>
      <c r="F746" s="1"/>
    </row>
    <row r="747" spans="1:6" x14ac:dyDescent="0.25">
      <c r="A747" s="1"/>
      <c r="B747" s="1"/>
      <c r="C747" s="1"/>
      <c r="D747" s="1"/>
      <c r="E747" s="1"/>
      <c r="F747" s="1"/>
    </row>
    <row r="748" spans="1:6" x14ac:dyDescent="0.25">
      <c r="A748" s="1"/>
      <c r="B748" s="1"/>
      <c r="C748" s="1"/>
      <c r="D748" s="1"/>
      <c r="E748" s="1"/>
      <c r="F748" s="1"/>
    </row>
    <row r="749" spans="1:6" x14ac:dyDescent="0.25">
      <c r="A749" s="1"/>
      <c r="B749" s="1"/>
      <c r="C749" s="1"/>
      <c r="D749" s="1"/>
      <c r="E749" s="1"/>
      <c r="F749" s="1"/>
    </row>
    <row r="750" spans="1:6" x14ac:dyDescent="0.25">
      <c r="A750" s="1"/>
      <c r="B750" s="1"/>
      <c r="C750" s="1"/>
      <c r="D750" s="1"/>
      <c r="E750" s="1"/>
      <c r="F750" s="1"/>
    </row>
    <row r="751" spans="1:6" x14ac:dyDescent="0.25">
      <c r="A751" s="1"/>
      <c r="B751" s="1"/>
      <c r="C751" s="1"/>
      <c r="D751" s="1"/>
      <c r="E751" s="1"/>
      <c r="F751" s="1"/>
    </row>
    <row r="752" spans="1:6" x14ac:dyDescent="0.25">
      <c r="A752" s="1"/>
      <c r="B752" s="1"/>
      <c r="C752" s="1"/>
      <c r="D752" s="1"/>
      <c r="E752" s="1"/>
      <c r="F752" s="1"/>
    </row>
    <row r="753" spans="1:6" x14ac:dyDescent="0.25">
      <c r="A753" s="1"/>
      <c r="B753" s="1"/>
      <c r="C753" s="1"/>
      <c r="D753" s="1"/>
      <c r="E753" s="1"/>
      <c r="F753" s="1"/>
    </row>
    <row r="754" spans="1:6" x14ac:dyDescent="0.25">
      <c r="A754" s="1"/>
      <c r="B754" s="1"/>
      <c r="C754" s="1"/>
      <c r="D754" s="1"/>
      <c r="E754" s="1"/>
      <c r="F754" s="1"/>
    </row>
    <row r="755" spans="1:6" x14ac:dyDescent="0.25">
      <c r="A755" s="1"/>
      <c r="B755" s="1"/>
      <c r="C755" s="1"/>
      <c r="D755" s="1"/>
      <c r="E755" s="1"/>
      <c r="F755" s="1"/>
    </row>
    <row r="756" spans="1:6" x14ac:dyDescent="0.25">
      <c r="A756" s="1"/>
      <c r="B756" s="1"/>
      <c r="C756" s="1"/>
      <c r="D756" s="1"/>
      <c r="E756" s="1"/>
      <c r="F756" s="1"/>
    </row>
    <row r="757" spans="1:6" x14ac:dyDescent="0.25">
      <c r="A757" s="1"/>
      <c r="B757" s="1"/>
      <c r="C757" s="1"/>
      <c r="D757" s="1"/>
      <c r="E757" s="1"/>
      <c r="F757" s="1"/>
    </row>
    <row r="758" spans="1:6" x14ac:dyDescent="0.25">
      <c r="A758" s="1"/>
      <c r="B758" s="1"/>
      <c r="C758" s="1"/>
      <c r="D758" s="1"/>
      <c r="E758" s="1"/>
      <c r="F758" s="1"/>
    </row>
    <row r="759" spans="1:6" x14ac:dyDescent="0.25">
      <c r="A759" s="1"/>
      <c r="B759" s="1"/>
      <c r="C759" s="1"/>
      <c r="D759" s="1"/>
      <c r="E759" s="1"/>
      <c r="F759" s="1"/>
    </row>
    <row r="760" spans="1:6" x14ac:dyDescent="0.25">
      <c r="A760" s="1"/>
      <c r="B760" s="1"/>
      <c r="C760" s="1"/>
      <c r="D760" s="1"/>
      <c r="E760" s="1"/>
      <c r="F760" s="1"/>
    </row>
    <row r="761" spans="1:6" x14ac:dyDescent="0.25">
      <c r="A761" s="1"/>
      <c r="B761" s="1"/>
      <c r="C761" s="1"/>
      <c r="D761" s="1"/>
      <c r="E761" s="1"/>
      <c r="F761" s="1"/>
    </row>
    <row r="762" spans="1:6" x14ac:dyDescent="0.25">
      <c r="A762" s="1"/>
      <c r="B762" s="1"/>
      <c r="C762" s="1"/>
      <c r="D762" s="1"/>
      <c r="E762" s="1"/>
      <c r="F762" s="1"/>
    </row>
    <row r="763" spans="1:6" x14ac:dyDescent="0.25">
      <c r="A763" s="1"/>
      <c r="B763" s="1"/>
      <c r="C763" s="1"/>
      <c r="D763" s="1"/>
      <c r="E763" s="1"/>
      <c r="F763" s="1"/>
    </row>
    <row r="764" spans="1:6" x14ac:dyDescent="0.25">
      <c r="A764" s="1"/>
      <c r="B764" s="1"/>
      <c r="C764" s="1"/>
      <c r="D764" s="1"/>
      <c r="E764" s="1"/>
      <c r="F764" s="1"/>
    </row>
    <row r="765" spans="1:6" x14ac:dyDescent="0.25">
      <c r="A765" s="1"/>
      <c r="B765" s="1"/>
      <c r="C765" s="1"/>
      <c r="D765" s="1"/>
      <c r="E765" s="1"/>
      <c r="F765" s="1"/>
    </row>
    <row r="766" spans="1:6" x14ac:dyDescent="0.25">
      <c r="A766" s="1"/>
      <c r="B766" s="1"/>
      <c r="C766" s="1"/>
      <c r="D766" s="1"/>
      <c r="E766" s="1"/>
      <c r="F766" s="1"/>
    </row>
    <row r="767" spans="1:6" x14ac:dyDescent="0.25">
      <c r="A767" s="1"/>
      <c r="B767" s="1"/>
      <c r="C767" s="1"/>
      <c r="D767" s="1"/>
      <c r="E767" s="1"/>
      <c r="F767" s="1"/>
    </row>
    <row r="768" spans="1:6" x14ac:dyDescent="0.25">
      <c r="A768" s="1"/>
      <c r="B768" s="1"/>
      <c r="C768" s="1"/>
      <c r="D768" s="1"/>
      <c r="E768" s="1"/>
      <c r="F768" s="1"/>
    </row>
    <row r="769" spans="1:6" x14ac:dyDescent="0.25">
      <c r="A769" s="1"/>
      <c r="B769" s="1"/>
      <c r="C769" s="1"/>
      <c r="D769" s="1"/>
      <c r="E769" s="1"/>
      <c r="F769" s="1"/>
    </row>
    <row r="770" spans="1:6" x14ac:dyDescent="0.25">
      <c r="A770" s="1"/>
      <c r="B770" s="1"/>
      <c r="C770" s="1"/>
      <c r="D770" s="1"/>
      <c r="E770" s="1"/>
      <c r="F770" s="1"/>
    </row>
    <row r="771" spans="1:6" x14ac:dyDescent="0.25">
      <c r="A771" s="1"/>
      <c r="B771" s="1"/>
      <c r="C771" s="1"/>
      <c r="D771" s="1"/>
      <c r="E771" s="1"/>
      <c r="F771" s="1"/>
    </row>
    <row r="772" spans="1:6" x14ac:dyDescent="0.25">
      <c r="A772" s="1"/>
      <c r="B772" s="1"/>
      <c r="C772" s="1"/>
      <c r="D772" s="1"/>
      <c r="E772" s="1"/>
      <c r="F772" s="1"/>
    </row>
    <row r="773" spans="1:6" x14ac:dyDescent="0.25">
      <c r="A773" s="1"/>
      <c r="B773" s="1"/>
      <c r="C773" s="1"/>
      <c r="D773" s="1"/>
      <c r="E773" s="1"/>
      <c r="F773" s="1"/>
    </row>
    <row r="774" spans="1:6" x14ac:dyDescent="0.25">
      <c r="A774" s="1"/>
      <c r="B774" s="1"/>
      <c r="C774" s="1"/>
      <c r="D774" s="1"/>
      <c r="E774" s="1"/>
      <c r="F774" s="1"/>
    </row>
    <row r="775" spans="1:6" x14ac:dyDescent="0.25">
      <c r="A775" s="1"/>
      <c r="B775" s="1"/>
      <c r="C775" s="1"/>
      <c r="D775" s="1"/>
      <c r="E775" s="1"/>
      <c r="F775" s="1"/>
    </row>
    <row r="776" spans="1:6" x14ac:dyDescent="0.25">
      <c r="A776" s="1"/>
      <c r="B776" s="1"/>
      <c r="C776" s="1"/>
      <c r="D776" s="1"/>
      <c r="E776" s="1"/>
      <c r="F776" s="1"/>
    </row>
    <row r="777" spans="1:6" x14ac:dyDescent="0.25">
      <c r="A777" s="1"/>
      <c r="B777" s="1"/>
      <c r="C777" s="1"/>
      <c r="D777" s="1"/>
      <c r="E777" s="1"/>
      <c r="F777" s="1"/>
    </row>
    <row r="778" spans="1:6" x14ac:dyDescent="0.25">
      <c r="A778" s="1"/>
      <c r="B778" s="1"/>
      <c r="C778" s="1"/>
      <c r="D778" s="1"/>
      <c r="E778" s="1"/>
      <c r="F778" s="1"/>
    </row>
    <row r="779" spans="1:6" x14ac:dyDescent="0.25">
      <c r="A779" s="1"/>
      <c r="B779" s="1"/>
      <c r="C779" s="1"/>
      <c r="D779" s="1"/>
      <c r="E779" s="1"/>
      <c r="F779" s="1"/>
    </row>
    <row r="780" spans="1:6" x14ac:dyDescent="0.25">
      <c r="A780" s="1"/>
      <c r="B780" s="1"/>
      <c r="C780" s="1"/>
      <c r="D780" s="1"/>
      <c r="E780" s="1"/>
      <c r="F780" s="1"/>
    </row>
    <row r="781" spans="1:6" x14ac:dyDescent="0.25">
      <c r="A781" s="1"/>
      <c r="B781" s="1"/>
      <c r="C781" s="1"/>
      <c r="D781" s="1"/>
      <c r="E781" s="1"/>
      <c r="F781" s="1"/>
    </row>
    <row r="782" spans="1:6" x14ac:dyDescent="0.25">
      <c r="A782" s="1"/>
      <c r="B782" s="1"/>
      <c r="C782" s="1"/>
      <c r="D782" s="1"/>
      <c r="E782" s="1"/>
      <c r="F782" s="1"/>
    </row>
    <row r="783" spans="1:6" x14ac:dyDescent="0.25">
      <c r="A783" s="1"/>
      <c r="B783" s="1"/>
      <c r="C783" s="1"/>
      <c r="D783" s="1"/>
      <c r="E783" s="1"/>
      <c r="F783" s="1"/>
    </row>
    <row r="784" spans="1:6" x14ac:dyDescent="0.25">
      <c r="A784" s="1"/>
      <c r="B784" s="1"/>
      <c r="C784" s="1"/>
      <c r="D784" s="1"/>
      <c r="E784" s="1"/>
      <c r="F784" s="1"/>
    </row>
    <row r="785" spans="1:6" x14ac:dyDescent="0.25">
      <c r="A785" s="1"/>
      <c r="B785" s="1"/>
      <c r="C785" s="1"/>
      <c r="D785" s="1"/>
      <c r="E785" s="1"/>
      <c r="F785" s="1"/>
    </row>
    <row r="786" spans="1:6" x14ac:dyDescent="0.25">
      <c r="A786" s="1"/>
      <c r="B786" s="1"/>
      <c r="C786" s="1"/>
      <c r="D786" s="1"/>
      <c r="E786" s="1"/>
      <c r="F786" s="1"/>
    </row>
    <row r="787" spans="1:6" x14ac:dyDescent="0.25">
      <c r="A787" s="1"/>
      <c r="B787" s="1"/>
      <c r="C787" s="1"/>
      <c r="D787" s="1"/>
      <c r="E787" s="1"/>
      <c r="F787" s="1"/>
    </row>
    <row r="788" spans="1:6" x14ac:dyDescent="0.25">
      <c r="A788" s="1"/>
      <c r="B788" s="1"/>
      <c r="C788" s="1"/>
      <c r="D788" s="1"/>
      <c r="E788" s="1"/>
      <c r="F788" s="1"/>
    </row>
    <row r="789" spans="1:6" x14ac:dyDescent="0.25">
      <c r="A789" s="1"/>
      <c r="B789" s="1"/>
      <c r="C789" s="1"/>
      <c r="D789" s="1"/>
      <c r="E789" s="1"/>
      <c r="F789" s="1"/>
    </row>
    <row r="790" spans="1:6" x14ac:dyDescent="0.25">
      <c r="A790" s="1"/>
      <c r="B790" s="1"/>
      <c r="C790" s="1"/>
      <c r="D790" s="1"/>
      <c r="E790" s="1"/>
      <c r="F790" s="1"/>
    </row>
    <row r="791" spans="1:6" x14ac:dyDescent="0.25">
      <c r="A791" s="1"/>
      <c r="B791" s="1"/>
      <c r="C791" s="1"/>
      <c r="D791" s="1"/>
      <c r="E791" s="1"/>
      <c r="F791" s="1"/>
    </row>
    <row r="792" spans="1:6" x14ac:dyDescent="0.25">
      <c r="A792" s="1"/>
      <c r="B792" s="1"/>
      <c r="C792" s="1"/>
      <c r="D792" s="1"/>
      <c r="E792" s="1"/>
      <c r="F792" s="1"/>
    </row>
    <row r="793" spans="1:6" x14ac:dyDescent="0.25">
      <c r="A793" s="1"/>
      <c r="B793" s="1"/>
      <c r="C793" s="1"/>
      <c r="D793" s="1"/>
      <c r="E793" s="1"/>
      <c r="F793" s="1"/>
    </row>
    <row r="794" spans="1:6" x14ac:dyDescent="0.25">
      <c r="A794" s="1"/>
      <c r="B794" s="1"/>
      <c r="C794" s="1"/>
      <c r="D794" s="1"/>
      <c r="E794" s="1"/>
      <c r="F794" s="1"/>
    </row>
    <row r="795" spans="1:6" x14ac:dyDescent="0.25">
      <c r="A795" s="1"/>
      <c r="B795" s="1"/>
      <c r="C795" s="1"/>
      <c r="D795" s="1"/>
      <c r="E795" s="1"/>
      <c r="F795" s="1"/>
    </row>
    <row r="796" spans="1:6" x14ac:dyDescent="0.25">
      <c r="A796" s="1"/>
      <c r="B796" s="1"/>
      <c r="C796" s="1"/>
      <c r="D796" s="1"/>
      <c r="E796" s="1"/>
      <c r="F796" s="1"/>
    </row>
    <row r="797" spans="1:6" x14ac:dyDescent="0.25">
      <c r="A797" s="1"/>
      <c r="B797" s="1"/>
      <c r="C797" s="1"/>
      <c r="D797" s="1"/>
      <c r="E797" s="1"/>
      <c r="F797" s="1"/>
    </row>
    <row r="798" spans="1:6" x14ac:dyDescent="0.25">
      <c r="A798" s="1"/>
      <c r="B798" s="1"/>
      <c r="C798" s="1"/>
      <c r="D798" s="1"/>
      <c r="E798" s="1"/>
      <c r="F798" s="1"/>
    </row>
    <row r="799" spans="1:6" x14ac:dyDescent="0.25">
      <c r="A799" s="1"/>
      <c r="B799" s="1"/>
      <c r="C799" s="1"/>
      <c r="D799" s="1"/>
      <c r="E799" s="1"/>
      <c r="F799" s="1"/>
    </row>
    <row r="800" spans="1:6" x14ac:dyDescent="0.25">
      <c r="A800" s="1"/>
      <c r="B800" s="1"/>
      <c r="C800" s="1"/>
      <c r="D800" s="1"/>
      <c r="E800" s="1"/>
      <c r="F800" s="1"/>
    </row>
    <row r="801" spans="1:6" x14ac:dyDescent="0.25">
      <c r="A801" s="1"/>
      <c r="B801" s="1"/>
      <c r="C801" s="1"/>
      <c r="D801" s="1"/>
      <c r="E801" s="1"/>
      <c r="F801" s="1"/>
    </row>
    <row r="802" spans="1:6" x14ac:dyDescent="0.25">
      <c r="A802" s="1"/>
      <c r="B802" s="1"/>
      <c r="C802" s="1"/>
      <c r="D802" s="1"/>
      <c r="E802" s="1"/>
      <c r="F802" s="1"/>
    </row>
    <row r="803" spans="1:6" x14ac:dyDescent="0.25">
      <c r="A803" s="1"/>
      <c r="B803" s="1"/>
      <c r="C803" s="1"/>
      <c r="D803" s="1"/>
      <c r="E803" s="1"/>
      <c r="F803" s="1"/>
    </row>
    <row r="804" spans="1:6" x14ac:dyDescent="0.25">
      <c r="A804" s="1"/>
      <c r="B804" s="1"/>
      <c r="C804" s="1"/>
      <c r="D804" s="1"/>
      <c r="E804" s="1"/>
      <c r="F804" s="1"/>
    </row>
    <row r="805" spans="1:6" x14ac:dyDescent="0.25">
      <c r="A805" s="1"/>
      <c r="B805" s="1"/>
      <c r="C805" s="1"/>
      <c r="D805" s="1"/>
      <c r="E805" s="1"/>
      <c r="F805" s="1"/>
    </row>
    <row r="806" spans="1:6" x14ac:dyDescent="0.25">
      <c r="A806" s="1"/>
      <c r="B806" s="1"/>
      <c r="C806" s="1"/>
      <c r="D806" s="1"/>
      <c r="E806" s="1"/>
      <c r="F806" s="1"/>
    </row>
    <row r="807" spans="1:6" x14ac:dyDescent="0.25">
      <c r="A807" s="1"/>
      <c r="B807" s="1"/>
      <c r="C807" s="1"/>
      <c r="D807" s="1"/>
      <c r="E807" s="1"/>
      <c r="F807" s="1"/>
    </row>
    <row r="808" spans="1:6" x14ac:dyDescent="0.25">
      <c r="A808" s="1"/>
      <c r="B808" s="1"/>
      <c r="C808" s="1"/>
      <c r="D808" s="1"/>
      <c r="E808" s="1"/>
      <c r="F808" s="1"/>
    </row>
    <row r="809" spans="1:6" x14ac:dyDescent="0.25">
      <c r="A809" s="1"/>
      <c r="B809" s="1"/>
      <c r="C809" s="1"/>
      <c r="D809" s="1"/>
      <c r="E809" s="1"/>
      <c r="F809" s="1"/>
    </row>
    <row r="810" spans="1:6" x14ac:dyDescent="0.25">
      <c r="A810" s="1"/>
      <c r="B810" s="1"/>
      <c r="C810" s="1"/>
      <c r="D810" s="1"/>
      <c r="E810" s="1"/>
      <c r="F810" s="1"/>
    </row>
    <row r="811" spans="1:6" x14ac:dyDescent="0.25">
      <c r="A811" s="1"/>
      <c r="B811" s="1"/>
      <c r="C811" s="1"/>
      <c r="D811" s="1"/>
      <c r="E811" s="1"/>
      <c r="F811" s="1"/>
    </row>
    <row r="812" spans="1:6" x14ac:dyDescent="0.25">
      <c r="A812" s="1"/>
      <c r="B812" s="1"/>
      <c r="C812" s="1"/>
      <c r="D812" s="1"/>
      <c r="E812" s="1"/>
      <c r="F812" s="1"/>
    </row>
    <row r="813" spans="1:6" x14ac:dyDescent="0.25">
      <c r="A813" s="1"/>
      <c r="B813" s="1"/>
      <c r="C813" s="1"/>
      <c r="D813" s="1"/>
      <c r="E813" s="1"/>
      <c r="F813" s="1"/>
    </row>
    <row r="814" spans="1:6" x14ac:dyDescent="0.25">
      <c r="A814" s="1"/>
      <c r="B814" s="1"/>
      <c r="C814" s="1"/>
      <c r="D814" s="1"/>
      <c r="E814" s="1"/>
      <c r="F814" s="1"/>
    </row>
    <row r="815" spans="1:6" x14ac:dyDescent="0.25">
      <c r="A815" s="1"/>
      <c r="B815" s="1"/>
      <c r="C815" s="1"/>
      <c r="D815" s="1"/>
      <c r="E815" s="1"/>
      <c r="F815" s="1"/>
    </row>
    <row r="816" spans="1:6" x14ac:dyDescent="0.25">
      <c r="A816" s="1"/>
      <c r="B816" s="1"/>
      <c r="C816" s="1"/>
      <c r="D816" s="1"/>
      <c r="E816" s="1"/>
      <c r="F816" s="1"/>
    </row>
    <row r="817" spans="1:6" x14ac:dyDescent="0.25">
      <c r="A817" s="1"/>
      <c r="B817" s="1"/>
      <c r="C817" s="1"/>
      <c r="D817" s="1"/>
      <c r="E817" s="1"/>
      <c r="F817" s="1"/>
    </row>
    <row r="818" spans="1:6" x14ac:dyDescent="0.25">
      <c r="A818" s="1"/>
      <c r="B818" s="1"/>
      <c r="C818" s="1"/>
      <c r="D818" s="1"/>
      <c r="E818" s="1"/>
      <c r="F818" s="1"/>
    </row>
    <row r="819" spans="1:6" x14ac:dyDescent="0.25">
      <c r="A819" s="1"/>
      <c r="B819" s="1"/>
      <c r="C819" s="1"/>
      <c r="D819" s="1"/>
      <c r="E819" s="1"/>
      <c r="F819" s="1"/>
    </row>
    <row r="820" spans="1:6" x14ac:dyDescent="0.25">
      <c r="A820" s="1"/>
      <c r="B820" s="1"/>
      <c r="C820" s="1"/>
      <c r="D820" s="1"/>
      <c r="E820" s="1"/>
      <c r="F820" s="1"/>
    </row>
    <row r="821" spans="1:6" x14ac:dyDescent="0.25">
      <c r="A821" s="1"/>
      <c r="B821" s="1"/>
      <c r="C821" s="1"/>
      <c r="D821" s="1"/>
      <c r="E821" s="1"/>
      <c r="F821" s="1"/>
    </row>
    <row r="822" spans="1:6" x14ac:dyDescent="0.25">
      <c r="A822" s="1"/>
      <c r="B822" s="1"/>
      <c r="C822" s="1"/>
      <c r="D822" s="1"/>
      <c r="E822" s="1"/>
      <c r="F822" s="1"/>
    </row>
    <row r="823" spans="1:6" x14ac:dyDescent="0.25">
      <c r="A823" s="1"/>
      <c r="B823" s="1"/>
      <c r="C823" s="1"/>
      <c r="D823" s="1"/>
      <c r="E823" s="1"/>
      <c r="F823" s="1"/>
    </row>
    <row r="824" spans="1:6" x14ac:dyDescent="0.25">
      <c r="A824" s="1"/>
      <c r="B824" s="1"/>
      <c r="C824" s="1"/>
      <c r="D824" s="1"/>
      <c r="E824" s="1"/>
      <c r="F824" s="1"/>
    </row>
    <row r="825" spans="1:6" x14ac:dyDescent="0.25">
      <c r="A825" s="1"/>
      <c r="B825" s="1"/>
      <c r="C825" s="1"/>
      <c r="D825" s="1"/>
      <c r="E825" s="1"/>
      <c r="F825" s="1"/>
    </row>
    <row r="826" spans="1:6" x14ac:dyDescent="0.25">
      <c r="A826" s="1"/>
      <c r="B826" s="1"/>
      <c r="C826" s="1"/>
      <c r="D826" s="1"/>
      <c r="E826" s="1"/>
      <c r="F826" s="1"/>
    </row>
    <row r="827" spans="1:6" x14ac:dyDescent="0.25">
      <c r="A827" s="1"/>
      <c r="B827" s="1"/>
      <c r="C827" s="1"/>
      <c r="D827" s="1"/>
      <c r="E827" s="1"/>
      <c r="F827" s="1"/>
    </row>
    <row r="828" spans="1:6" x14ac:dyDescent="0.25">
      <c r="A828" s="1"/>
      <c r="B828" s="1"/>
      <c r="C828" s="1"/>
      <c r="D828" s="1"/>
      <c r="E828" s="1"/>
      <c r="F828" s="1"/>
    </row>
    <row r="829" spans="1:6" x14ac:dyDescent="0.25">
      <c r="A829" s="1"/>
      <c r="B829" s="1"/>
      <c r="C829" s="1"/>
      <c r="D829" s="1"/>
      <c r="E829" s="1"/>
      <c r="F829" s="1"/>
    </row>
    <row r="830" spans="1:6" x14ac:dyDescent="0.25">
      <c r="A830" s="1"/>
      <c r="B830" s="1"/>
      <c r="C830" s="1"/>
      <c r="D830" s="1"/>
      <c r="E830" s="1"/>
      <c r="F830" s="1"/>
    </row>
    <row r="831" spans="1:6" x14ac:dyDescent="0.25">
      <c r="A831" s="1"/>
      <c r="B831" s="1"/>
      <c r="C831" s="1"/>
      <c r="D831" s="1"/>
      <c r="E831" s="1"/>
      <c r="F831" s="1"/>
    </row>
    <row r="832" spans="1:6" x14ac:dyDescent="0.25">
      <c r="A832" s="1"/>
      <c r="B832" s="1"/>
      <c r="C832" s="1"/>
      <c r="D832" s="1"/>
      <c r="E832" s="1"/>
      <c r="F832" s="1"/>
    </row>
    <row r="833" spans="1:6" x14ac:dyDescent="0.25">
      <c r="A833" s="1"/>
      <c r="B833" s="1"/>
      <c r="C833" s="1"/>
      <c r="D833" s="1"/>
      <c r="E833" s="1"/>
      <c r="F833" s="1"/>
    </row>
    <row r="834" spans="1:6" x14ac:dyDescent="0.25">
      <c r="A834" s="1"/>
      <c r="B834" s="1"/>
      <c r="C834" s="1"/>
      <c r="D834" s="1"/>
      <c r="E834" s="1"/>
      <c r="F834" s="1"/>
    </row>
    <row r="835" spans="1:6" x14ac:dyDescent="0.25">
      <c r="A835" s="1"/>
      <c r="B835" s="1"/>
      <c r="C835" s="1"/>
      <c r="D835" s="1"/>
      <c r="E835" s="1"/>
      <c r="F835" s="1"/>
    </row>
    <row r="836" spans="1:6" x14ac:dyDescent="0.25">
      <c r="A836" s="1"/>
      <c r="B836" s="1"/>
      <c r="C836" s="1"/>
      <c r="D836" s="1"/>
      <c r="E836" s="1"/>
      <c r="F836" s="1"/>
    </row>
    <row r="837" spans="1:6" x14ac:dyDescent="0.25">
      <c r="A837" s="1"/>
      <c r="B837" s="1"/>
      <c r="C837" s="1"/>
      <c r="D837" s="1"/>
      <c r="E837" s="1"/>
      <c r="F837" s="1"/>
    </row>
    <row r="838" spans="1:6" x14ac:dyDescent="0.25">
      <c r="A838" s="1"/>
      <c r="B838" s="1"/>
      <c r="C838" s="1"/>
      <c r="D838" s="1"/>
      <c r="E838" s="1"/>
      <c r="F838" s="1"/>
    </row>
    <row r="839" spans="1:6" x14ac:dyDescent="0.25">
      <c r="A839" s="1"/>
      <c r="B839" s="1"/>
      <c r="C839" s="1"/>
      <c r="D839" s="1"/>
      <c r="E839" s="1"/>
      <c r="F839" s="1"/>
    </row>
    <row r="840" spans="1:6" x14ac:dyDescent="0.25">
      <c r="A840" s="1"/>
      <c r="B840" s="1"/>
      <c r="C840" s="1"/>
      <c r="D840" s="1"/>
      <c r="E840" s="1"/>
      <c r="F840" s="1"/>
    </row>
    <row r="841" spans="1:6" x14ac:dyDescent="0.25">
      <c r="A841" s="1"/>
      <c r="B841" s="1"/>
      <c r="C841" s="1"/>
      <c r="D841" s="1"/>
      <c r="E841" s="1"/>
      <c r="F841" s="1"/>
    </row>
    <row r="842" spans="1:6" x14ac:dyDescent="0.25">
      <c r="A842" s="1"/>
      <c r="B842" s="1"/>
      <c r="C842" s="1"/>
      <c r="D842" s="1"/>
      <c r="E842" s="1"/>
      <c r="F842" s="1"/>
    </row>
    <row r="843" spans="1:6" x14ac:dyDescent="0.25">
      <c r="A843" s="1"/>
      <c r="B843" s="1"/>
      <c r="C843" s="1"/>
      <c r="D843" s="1"/>
      <c r="E843" s="1"/>
      <c r="F843" s="1"/>
    </row>
    <row r="844" spans="1:6" x14ac:dyDescent="0.25">
      <c r="A844" s="1"/>
      <c r="B844" s="1"/>
      <c r="C844" s="1"/>
      <c r="D844" s="1"/>
      <c r="E844" s="1"/>
      <c r="F844" s="1"/>
    </row>
    <row r="845" spans="1:6" x14ac:dyDescent="0.25">
      <c r="A845" s="1"/>
      <c r="B845" s="1"/>
      <c r="C845" s="1"/>
      <c r="D845" s="1"/>
      <c r="E845" s="1"/>
      <c r="F845" s="1"/>
    </row>
    <row r="846" spans="1:6" x14ac:dyDescent="0.25">
      <c r="A846" s="1"/>
      <c r="B846" s="1"/>
      <c r="C846" s="1"/>
      <c r="D846" s="1"/>
      <c r="E846" s="1"/>
      <c r="F846" s="1"/>
    </row>
    <row r="847" spans="1:6" x14ac:dyDescent="0.25">
      <c r="A847" s="1"/>
      <c r="B847" s="1"/>
      <c r="C847" s="1"/>
      <c r="D847" s="1"/>
      <c r="E847" s="1"/>
      <c r="F847" s="1"/>
    </row>
    <row r="848" spans="1:6" x14ac:dyDescent="0.25">
      <c r="A848" s="1"/>
      <c r="B848" s="1"/>
      <c r="C848" s="1"/>
      <c r="D848" s="1"/>
      <c r="E848" s="1"/>
      <c r="F848" s="1"/>
    </row>
    <row r="849" spans="1:6" x14ac:dyDescent="0.25">
      <c r="A849" s="1"/>
      <c r="B849" s="1"/>
      <c r="C849" s="1"/>
      <c r="D849" s="1"/>
      <c r="E849" s="1"/>
      <c r="F849" s="1"/>
    </row>
    <row r="850" spans="1:6" x14ac:dyDescent="0.25">
      <c r="A850" s="1"/>
      <c r="B850" s="1"/>
      <c r="C850" s="1"/>
      <c r="D850" s="1"/>
      <c r="E850" s="1"/>
      <c r="F850" s="1"/>
    </row>
    <row r="851" spans="1:6" x14ac:dyDescent="0.25">
      <c r="A851" s="1"/>
      <c r="B851" s="1"/>
      <c r="C851" s="1"/>
      <c r="D851" s="1"/>
      <c r="E851" s="1"/>
      <c r="F851" s="1"/>
    </row>
    <row r="852" spans="1:6" x14ac:dyDescent="0.25">
      <c r="A852" s="1"/>
      <c r="B852" s="1"/>
      <c r="C852" s="1"/>
      <c r="D852" s="1"/>
      <c r="E852" s="1"/>
      <c r="F852" s="1"/>
    </row>
    <row r="853" spans="1:6" x14ac:dyDescent="0.25">
      <c r="A853" s="1"/>
      <c r="B853" s="1"/>
      <c r="C853" s="1"/>
      <c r="D853" s="1"/>
      <c r="E853" s="1"/>
      <c r="F853" s="1"/>
    </row>
    <row r="854" spans="1:6" x14ac:dyDescent="0.25">
      <c r="A854" s="1"/>
      <c r="B854" s="1"/>
      <c r="C854" s="1"/>
      <c r="D854" s="1"/>
      <c r="E854" s="1"/>
      <c r="F854" s="1"/>
    </row>
    <row r="855" spans="1:6" x14ac:dyDescent="0.25">
      <c r="A855" s="1"/>
      <c r="B855" s="1"/>
      <c r="C855" s="1"/>
      <c r="D855" s="1"/>
      <c r="E855" s="1"/>
      <c r="F855" s="1"/>
    </row>
    <row r="856" spans="1:6" x14ac:dyDescent="0.25">
      <c r="A856" s="1"/>
      <c r="B856" s="1"/>
      <c r="C856" s="1"/>
      <c r="D856" s="1"/>
      <c r="E856" s="1"/>
      <c r="F856" s="1"/>
    </row>
    <row r="857" spans="1:6" x14ac:dyDescent="0.25">
      <c r="A857" s="1"/>
      <c r="B857" s="1"/>
      <c r="C857" s="1"/>
      <c r="D857" s="1"/>
      <c r="E857" s="1"/>
      <c r="F857" s="1"/>
    </row>
    <row r="858" spans="1:6" x14ac:dyDescent="0.25">
      <c r="A858" s="1"/>
      <c r="B858" s="1"/>
      <c r="C858" s="1"/>
      <c r="D858" s="1"/>
      <c r="E858" s="1"/>
      <c r="F858" s="1"/>
    </row>
    <row r="859" spans="1:6" x14ac:dyDescent="0.25">
      <c r="A859" s="1"/>
      <c r="B859" s="1"/>
      <c r="C859" s="1"/>
      <c r="D859" s="1"/>
      <c r="E859" s="1"/>
      <c r="F859" s="1"/>
    </row>
    <row r="860" spans="1:6" x14ac:dyDescent="0.25">
      <c r="A860" s="1"/>
      <c r="B860" s="1"/>
      <c r="C860" s="1"/>
      <c r="D860" s="1"/>
      <c r="E860" s="1"/>
      <c r="F860" s="1"/>
    </row>
    <row r="861" spans="1:6" x14ac:dyDescent="0.25">
      <c r="A861" s="1"/>
      <c r="B861" s="1"/>
      <c r="C861" s="1"/>
      <c r="D861" s="1"/>
      <c r="E861" s="1"/>
      <c r="F861" s="1"/>
    </row>
    <row r="862" spans="1:6" x14ac:dyDescent="0.25">
      <c r="A862" s="1"/>
      <c r="B862" s="1"/>
      <c r="C862" s="1"/>
      <c r="D862" s="1"/>
      <c r="E862" s="1"/>
      <c r="F862" s="1"/>
    </row>
    <row r="863" spans="1:6" x14ac:dyDescent="0.25">
      <c r="A863" s="1"/>
      <c r="B863" s="1"/>
      <c r="C863" s="1"/>
      <c r="D863" s="1"/>
      <c r="E863" s="1"/>
      <c r="F863" s="1"/>
    </row>
    <row r="864" spans="1:6" x14ac:dyDescent="0.25">
      <c r="A864" s="1"/>
      <c r="B864" s="1"/>
      <c r="C864" s="1"/>
      <c r="D864" s="1"/>
      <c r="E864" s="1"/>
      <c r="F864" s="1"/>
    </row>
    <row r="865" spans="1:6" x14ac:dyDescent="0.25">
      <c r="A865" s="1"/>
      <c r="B865" s="1"/>
      <c r="C865" s="1"/>
      <c r="D865" s="1"/>
      <c r="E865" s="1"/>
      <c r="F865" s="1"/>
    </row>
    <row r="866" spans="1:6" x14ac:dyDescent="0.25">
      <c r="A866" s="1"/>
      <c r="B866" s="1"/>
      <c r="C866" s="1"/>
      <c r="D866" s="1"/>
      <c r="E866" s="1"/>
      <c r="F866" s="1"/>
    </row>
    <row r="867" spans="1:6" x14ac:dyDescent="0.25">
      <c r="A867" s="1"/>
      <c r="B867" s="1"/>
      <c r="C867" s="1"/>
      <c r="D867" s="1"/>
      <c r="E867" s="1"/>
      <c r="F867" s="1"/>
    </row>
    <row r="868" spans="1:6" x14ac:dyDescent="0.25">
      <c r="A868" s="1"/>
      <c r="B868" s="1"/>
      <c r="C868" s="1"/>
      <c r="D868" s="1"/>
      <c r="E868" s="1"/>
      <c r="F868" s="1"/>
    </row>
    <row r="869" spans="1:6" x14ac:dyDescent="0.25">
      <c r="A869" s="1"/>
      <c r="B869" s="1"/>
      <c r="C869" s="1"/>
      <c r="D869" s="1"/>
      <c r="E869" s="1"/>
      <c r="F869" s="1"/>
    </row>
    <row r="870" spans="1:6" x14ac:dyDescent="0.25">
      <c r="A870" s="1"/>
      <c r="B870" s="1"/>
      <c r="C870" s="1"/>
      <c r="D870" s="1"/>
      <c r="E870" s="1"/>
      <c r="F870" s="1"/>
    </row>
    <row r="871" spans="1:6" x14ac:dyDescent="0.25">
      <c r="A871" s="1"/>
      <c r="B871" s="1"/>
      <c r="C871" s="1"/>
      <c r="D871" s="1"/>
      <c r="E871" s="1"/>
      <c r="F871" s="1"/>
    </row>
    <row r="872" spans="1:6" x14ac:dyDescent="0.25">
      <c r="A872" s="1"/>
      <c r="B872" s="1"/>
      <c r="C872" s="1"/>
      <c r="D872" s="1"/>
      <c r="E872" s="1"/>
      <c r="F872" s="1"/>
    </row>
    <row r="873" spans="1:6" x14ac:dyDescent="0.25">
      <c r="A873" s="1"/>
      <c r="B873" s="1"/>
      <c r="C873" s="1"/>
      <c r="D873" s="1"/>
      <c r="E873" s="1"/>
      <c r="F873" s="1"/>
    </row>
    <row r="874" spans="1:6" x14ac:dyDescent="0.25">
      <c r="A874" s="1"/>
      <c r="B874" s="1"/>
      <c r="C874" s="1"/>
      <c r="D874" s="1"/>
      <c r="E874" s="1"/>
      <c r="F874" s="1"/>
    </row>
    <row r="875" spans="1:6" x14ac:dyDescent="0.25">
      <c r="A875" s="1"/>
      <c r="B875" s="1"/>
      <c r="C875" s="1"/>
      <c r="D875" s="1"/>
      <c r="E875" s="1"/>
      <c r="F875" s="1"/>
    </row>
    <row r="876" spans="1:6" x14ac:dyDescent="0.25">
      <c r="A876" s="1"/>
      <c r="B876" s="1"/>
      <c r="C876" s="1"/>
      <c r="D876" s="1"/>
      <c r="F876" s="1"/>
    </row>
    <row r="877" spans="1:6" x14ac:dyDescent="0.25">
      <c r="A877" s="1"/>
      <c r="B877" s="1"/>
      <c r="C877" s="1"/>
      <c r="D877" s="1"/>
      <c r="F877" s="1"/>
    </row>
    <row r="878" spans="1:6" x14ac:dyDescent="0.25">
      <c r="A878" s="1"/>
      <c r="B878" s="1"/>
      <c r="C878" s="1"/>
      <c r="D878" s="1"/>
      <c r="F878" s="1"/>
    </row>
    <row r="879" spans="1:6" x14ac:dyDescent="0.25">
      <c r="F879" s="1"/>
    </row>
    <row r="880" spans="1:6" x14ac:dyDescent="0.25">
      <c r="F880" s="1"/>
    </row>
    <row r="881" spans="6:6" x14ac:dyDescent="0.25">
      <c r="F881" s="1"/>
    </row>
    <row r="882" spans="6:6" x14ac:dyDescent="0.25">
      <c r="F882" s="1"/>
    </row>
    <row r="883" spans="6:6" x14ac:dyDescent="0.25">
      <c r="F883" s="1"/>
    </row>
  </sheetData>
  <phoneticPr fontId="9" type="noConversion"/>
  <conditionalFormatting sqref="D2">
    <cfRule type="cellIs" dxfId="3" priority="1" operator="equal">
      <formula>"Falta completar pedidos"</formula>
    </cfRule>
    <cfRule type="cellIs" dxfId="2" priority="2" operator="equal">
      <formula>"Todo en Orden"</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tón1_Haga_clic_en">
                <anchor moveWithCells="1" sizeWithCells="1">
                  <from>
                    <xdr:col>1</xdr:col>
                    <xdr:colOff>114300</xdr:colOff>
                    <xdr:row>2</xdr:row>
                    <xdr:rowOff>104775</xdr:rowOff>
                  </from>
                  <to>
                    <xdr:col>1</xdr:col>
                    <xdr:colOff>1181100</xdr:colOff>
                    <xdr:row>4</xdr:row>
                    <xdr:rowOff>38100</xdr:rowOff>
                  </to>
                </anchor>
              </controlPr>
            </control>
          </mc:Choice>
        </mc:AlternateContent>
        <mc:AlternateContent xmlns:mc="http://schemas.openxmlformats.org/markup-compatibility/2006">
          <mc:Choice Requires="x14">
            <control shapeId="1026" r:id="rId5" name="Button 2">
              <controlPr defaultSize="0" print="0" autoFill="0" autoPict="0" macro="[0]!Botón2_Haga_clic_en">
                <anchor moveWithCells="1" sizeWithCells="1">
                  <from>
                    <xdr:col>5</xdr:col>
                    <xdr:colOff>476250</xdr:colOff>
                    <xdr:row>2</xdr:row>
                    <xdr:rowOff>47625</xdr:rowOff>
                  </from>
                  <to>
                    <xdr:col>6</xdr:col>
                    <xdr:colOff>971550</xdr:colOff>
                    <xdr:row>3</xdr:row>
                    <xdr:rowOff>95250</xdr:rowOff>
                  </to>
                </anchor>
              </controlPr>
            </control>
          </mc:Choice>
        </mc:AlternateContent>
        <mc:AlternateContent xmlns:mc="http://schemas.openxmlformats.org/markup-compatibility/2006">
          <mc:Choice Requires="x14">
            <control shapeId="1027" r:id="rId6" name="Button 3">
              <controlPr defaultSize="0" print="0" autoFill="0" autoPict="0" macro="[0]!Botón2_Haga_clic_en">
                <anchor moveWithCells="1" sizeWithCells="1">
                  <from>
                    <xdr:col>5</xdr:col>
                    <xdr:colOff>476250</xdr:colOff>
                    <xdr:row>2</xdr:row>
                    <xdr:rowOff>47625</xdr:rowOff>
                  </from>
                  <to>
                    <xdr:col>6</xdr:col>
                    <xdr:colOff>971550</xdr:colOff>
                    <xdr:row>3</xdr:row>
                    <xdr:rowOff>95250</xdr:rowOff>
                  </to>
                </anchor>
              </controlPr>
            </control>
          </mc:Choice>
        </mc:AlternateContent>
      </controls>
    </mc:Choice>
  </mc:AlternateContent>
  <tableParts count="2">
    <tablePart r:id="rId7"/>
    <tablePart r:id="rId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1E4C4-7719-4FD0-80D5-3A8AE17A47D1}">
  <sheetPr codeName="Hoja11"/>
  <dimension ref="A2:O20"/>
  <sheetViews>
    <sheetView tabSelected="1" workbookViewId="0">
      <selection activeCell="A4" sqref="A4"/>
    </sheetView>
  </sheetViews>
  <sheetFormatPr baseColWidth="10" defaultRowHeight="15" x14ac:dyDescent="0.25"/>
  <cols>
    <col min="1" max="1" width="20.85546875" customWidth="1"/>
    <col min="2" max="2" width="18.7109375" customWidth="1"/>
    <col min="4" max="4" width="14" customWidth="1"/>
    <col min="5" max="5" width="12.7109375" customWidth="1"/>
  </cols>
  <sheetData>
    <row r="2" spans="1:15" ht="23.25" x14ac:dyDescent="0.35">
      <c r="E2" s="125" t="s">
        <v>1674</v>
      </c>
      <c r="O2" t="s">
        <v>1676</v>
      </c>
    </row>
    <row r="3" spans="1:15" ht="61.5" x14ac:dyDescent="0.9">
      <c r="E3" s="126" t="s">
        <v>1675</v>
      </c>
      <c r="O3" t="s">
        <v>1677</v>
      </c>
    </row>
    <row r="4" spans="1:15" x14ac:dyDescent="0.25">
      <c r="A4" t="s">
        <v>208</v>
      </c>
      <c r="B4" t="s">
        <v>1681</v>
      </c>
      <c r="C4" t="s">
        <v>1672</v>
      </c>
      <c r="D4" t="s">
        <v>1673</v>
      </c>
      <c r="E4" t="s">
        <v>1691</v>
      </c>
      <c r="O4" t="s">
        <v>1678</v>
      </c>
    </row>
    <row r="5" spans="1:15" x14ac:dyDescent="0.25">
      <c r="A5" t="s">
        <v>1660</v>
      </c>
      <c r="B5" t="s">
        <v>1682</v>
      </c>
      <c r="C5" t="s">
        <v>1662</v>
      </c>
      <c r="D5" t="s">
        <v>1676</v>
      </c>
    </row>
    <row r="6" spans="1:15" x14ac:dyDescent="0.25">
      <c r="A6" t="s">
        <v>1661</v>
      </c>
      <c r="B6" t="s">
        <v>1683</v>
      </c>
      <c r="C6" t="s">
        <v>1663</v>
      </c>
      <c r="D6" t="s">
        <v>1676</v>
      </c>
    </row>
    <row r="7" spans="1:15" x14ac:dyDescent="0.25">
      <c r="A7" t="s">
        <v>1659</v>
      </c>
      <c r="B7" t="s">
        <v>1684</v>
      </c>
      <c r="C7" t="s">
        <v>1664</v>
      </c>
      <c r="D7" t="s">
        <v>1676</v>
      </c>
    </row>
    <row r="8" spans="1:15" x14ac:dyDescent="0.25">
      <c r="A8" t="s">
        <v>1665</v>
      </c>
      <c r="B8" t="s">
        <v>1685</v>
      </c>
      <c r="C8" t="s">
        <v>1666</v>
      </c>
      <c r="D8" t="s">
        <v>1676</v>
      </c>
    </row>
    <row r="9" spans="1:15" x14ac:dyDescent="0.25">
      <c r="A9" t="s">
        <v>1690</v>
      </c>
      <c r="B9" t="s">
        <v>1686</v>
      </c>
      <c r="C9" t="s">
        <v>1667</v>
      </c>
      <c r="D9" t="s">
        <v>1676</v>
      </c>
    </row>
    <row r="10" spans="1:15" x14ac:dyDescent="0.25">
      <c r="A10" t="s">
        <v>1668</v>
      </c>
      <c r="B10" t="s">
        <v>1687</v>
      </c>
      <c r="C10" t="s">
        <v>1669</v>
      </c>
      <c r="D10" t="s">
        <v>1676</v>
      </c>
    </row>
    <row r="11" spans="1:15" x14ac:dyDescent="0.25">
      <c r="A11" t="s">
        <v>1670</v>
      </c>
      <c r="B11" t="s">
        <v>1688</v>
      </c>
      <c r="C11" t="s">
        <v>1671</v>
      </c>
      <c r="D11" t="s">
        <v>1676</v>
      </c>
    </row>
    <row r="12" spans="1:15" x14ac:dyDescent="0.25">
      <c r="A12" t="s">
        <v>1679</v>
      </c>
      <c r="B12" t="s">
        <v>1689</v>
      </c>
      <c r="C12" t="s">
        <v>1680</v>
      </c>
      <c r="D12" t="s">
        <v>1676</v>
      </c>
    </row>
    <row r="20" spans="2:2" x14ac:dyDescent="0.25">
      <c r="B20" t="str">
        <f>IF(COUNTA(Tabla1[Fecha y Hora])=COUNTA(Tabla9[Propina]),"Todo en Orden","Falta completar pedidos")</f>
        <v>Todo en Orden</v>
      </c>
    </row>
  </sheetData>
  <sortState xmlns:xlrd2="http://schemas.microsoft.com/office/spreadsheetml/2017/richdata2" ref="A4:C11">
    <sortCondition descending="1" ref="C5:C11"/>
  </sortState>
  <conditionalFormatting sqref="B20">
    <cfRule type="containsText" dxfId="1" priority="1" operator="containsText" text="Falta completar pedidos">
      <formula>NOT(ISERROR(SEARCH("Falta completar pedidos",B20)))</formula>
    </cfRule>
    <cfRule type="containsText" dxfId="0" priority="2" operator="containsText" text="Todo en Orden">
      <formula>NOT(ISERROR(SEARCH("Todo en Orden",B20)))</formula>
    </cfRule>
    <cfRule type="colorScale" priority="3">
      <colorScale>
        <cfvo type="min"/>
        <cfvo type="max"/>
        <color rgb="FFFF0000"/>
        <color theme="9" tint="-0.249977111117893"/>
      </colorScale>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Botón1_Haga_clic_en">
                <anchor moveWithCells="1" sizeWithCells="1">
                  <from>
                    <xdr:col>0</xdr:col>
                    <xdr:colOff>161925</xdr:colOff>
                    <xdr:row>17</xdr:row>
                    <xdr:rowOff>161925</xdr:rowOff>
                  </from>
                  <to>
                    <xdr:col>0</xdr:col>
                    <xdr:colOff>1228725</xdr:colOff>
                    <xdr:row>19</xdr:row>
                    <xdr:rowOff>95250</xdr:rowOff>
                  </to>
                </anchor>
              </controlPr>
            </control>
          </mc:Choice>
        </mc:AlternateContent>
        <mc:AlternateContent xmlns:mc="http://schemas.openxmlformats.org/markup-compatibility/2006">
          <mc:Choice Requires="x14">
            <control shapeId="19460" r:id="rId4" name="Button 4">
              <controlPr defaultSize="0" print="0" autoFill="0" autoPict="0" macro="[0]!Botón2_Haga_clic_en">
                <anchor moveWithCells="1" sizeWithCells="1">
                  <from>
                    <xdr:col>0</xdr:col>
                    <xdr:colOff>142875</xdr:colOff>
                    <xdr:row>20</xdr:row>
                    <xdr:rowOff>28575</xdr:rowOff>
                  </from>
                  <to>
                    <xdr:col>0</xdr:col>
                    <xdr:colOff>1200150</xdr:colOff>
                    <xdr:row>21</xdr:row>
                    <xdr:rowOff>123825</xdr:rowOff>
                  </to>
                </anchor>
              </controlPr>
            </control>
          </mc:Choice>
        </mc:AlternateContent>
        <mc:AlternateContent xmlns:mc="http://schemas.openxmlformats.org/markup-compatibility/2006">
          <mc:Choice Requires="x14">
            <control shapeId="19461" r:id="rId5" name="Button 5">
              <controlPr defaultSize="0" print="0" autoFill="0" autoPict="0" macro="[0]!Botón5_Haga_clic_en">
                <anchor moveWithCells="1" sizeWithCells="1">
                  <from>
                    <xdr:col>0</xdr:col>
                    <xdr:colOff>1371600</xdr:colOff>
                    <xdr:row>12</xdr:row>
                    <xdr:rowOff>152400</xdr:rowOff>
                  </from>
                  <to>
                    <xdr:col>2</xdr:col>
                    <xdr:colOff>704850</xdr:colOff>
                    <xdr:row>13</xdr:row>
                    <xdr:rowOff>180975</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EF7BC-A187-410B-AE36-9D31F0E22388}">
  <sheetPr codeName="Hoja2"/>
  <dimension ref="A2:P21"/>
  <sheetViews>
    <sheetView workbookViewId="0">
      <selection activeCell="A19" sqref="A19"/>
    </sheetView>
  </sheetViews>
  <sheetFormatPr baseColWidth="10" defaultRowHeight="15" x14ac:dyDescent="0.25"/>
  <cols>
    <col min="1" max="1" width="22.7109375" customWidth="1"/>
    <col min="2" max="2" width="16.85546875" customWidth="1"/>
    <col min="3" max="3" width="15.7109375" customWidth="1"/>
    <col min="5" max="5" width="22.28515625" customWidth="1"/>
    <col min="6" max="6" width="10" customWidth="1"/>
    <col min="7" max="7" width="19.85546875" customWidth="1"/>
    <col min="8" max="8" width="16.28515625" customWidth="1"/>
    <col min="9" max="9" width="19" customWidth="1"/>
    <col min="10" max="10" width="15.28515625" customWidth="1"/>
    <col min="11" max="11" width="15.85546875" customWidth="1"/>
    <col min="12" max="12" width="18.140625" customWidth="1"/>
    <col min="13" max="13" width="22.85546875" customWidth="1"/>
    <col min="14" max="14" width="11.28515625" customWidth="1"/>
    <col min="15" max="15" width="7.85546875" customWidth="1"/>
    <col min="16" max="16" width="8" customWidth="1"/>
    <col min="17" max="17" width="11.28515625" customWidth="1"/>
    <col min="18" max="18" width="10.7109375" customWidth="1"/>
    <col min="19" max="19" width="9.85546875" customWidth="1"/>
  </cols>
  <sheetData>
    <row r="2" spans="1:3" ht="45" customHeight="1" x14ac:dyDescent="0.25"/>
    <row r="4" spans="1:3" x14ac:dyDescent="0.25">
      <c r="B4" s="52" t="s">
        <v>357</v>
      </c>
    </row>
    <row r="5" spans="1:3" ht="15.75" thickBot="1" x14ac:dyDescent="0.3">
      <c r="A5" s="53" t="s">
        <v>358</v>
      </c>
      <c r="B5" t="s">
        <v>359</v>
      </c>
      <c r="C5" t="s">
        <v>360</v>
      </c>
    </row>
    <row r="6" spans="1:3" ht="15.75" thickBot="1" x14ac:dyDescent="0.3">
      <c r="A6" s="54" t="s">
        <v>361</v>
      </c>
      <c r="B6" s="55">
        <v>0</v>
      </c>
      <c r="C6" s="55">
        <v>5</v>
      </c>
    </row>
    <row r="7" spans="1:3" ht="15.75" thickBot="1" x14ac:dyDescent="0.3">
      <c r="A7" s="54" t="s">
        <v>362</v>
      </c>
      <c r="B7" s="55">
        <v>35</v>
      </c>
      <c r="C7" s="55">
        <v>45</v>
      </c>
    </row>
    <row r="8" spans="1:3" x14ac:dyDescent="0.25">
      <c r="A8" s="56" t="s">
        <v>363</v>
      </c>
      <c r="B8" s="55">
        <v>45</v>
      </c>
      <c r="C8" s="55">
        <v>55</v>
      </c>
    </row>
    <row r="9" spans="1:3" ht="15.75" thickBot="1" x14ac:dyDescent="0.3">
      <c r="A9" s="54" t="s">
        <v>364</v>
      </c>
      <c r="B9" s="55">
        <v>220</v>
      </c>
      <c r="C9" s="55">
        <v>299</v>
      </c>
    </row>
    <row r="10" spans="1:3" ht="15.75" thickBot="1" x14ac:dyDescent="0.3">
      <c r="A10" s="54" t="s">
        <v>365</v>
      </c>
      <c r="B10" s="55">
        <v>119</v>
      </c>
      <c r="C10" s="55">
        <v>129</v>
      </c>
    </row>
    <row r="11" spans="1:3" ht="15.75" thickBot="1" x14ac:dyDescent="0.3">
      <c r="A11" s="54" t="s">
        <v>366</v>
      </c>
      <c r="B11" s="55">
        <v>90</v>
      </c>
      <c r="C11" s="55">
        <v>100</v>
      </c>
    </row>
    <row r="12" spans="1:3" x14ac:dyDescent="0.25">
      <c r="A12" s="56" t="s">
        <v>367</v>
      </c>
      <c r="B12" s="55">
        <v>99</v>
      </c>
      <c r="C12" s="55">
        <v>110</v>
      </c>
    </row>
    <row r="13" spans="1:3" ht="15.75" thickBot="1" x14ac:dyDescent="0.3">
      <c r="A13" s="54" t="s">
        <v>368</v>
      </c>
      <c r="B13" s="55">
        <v>35</v>
      </c>
      <c r="C13" s="55">
        <v>45</v>
      </c>
    </row>
    <row r="14" spans="1:3" x14ac:dyDescent="0.25">
      <c r="A14" s="56" t="s">
        <v>369</v>
      </c>
      <c r="B14" s="55">
        <v>35</v>
      </c>
      <c r="C14" s="55">
        <v>45</v>
      </c>
    </row>
    <row r="15" spans="1:3" x14ac:dyDescent="0.25">
      <c r="A15" s="56" t="s">
        <v>370</v>
      </c>
      <c r="B15" s="55">
        <v>40</v>
      </c>
      <c r="C15" s="55">
        <v>50</v>
      </c>
    </row>
    <row r="17" spans="1:16" ht="45.75" thickBot="1" x14ac:dyDescent="0.3">
      <c r="A17" s="76" t="s">
        <v>44</v>
      </c>
      <c r="B17" s="76" t="s">
        <v>960</v>
      </c>
      <c r="C17" s="75" t="s">
        <v>955</v>
      </c>
      <c r="D17" s="75" t="s">
        <v>956</v>
      </c>
      <c r="E17" s="75" t="s">
        <v>957</v>
      </c>
      <c r="F17" s="75" t="s">
        <v>954</v>
      </c>
      <c r="G17" s="54" t="s">
        <v>362</v>
      </c>
      <c r="H17" s="74" t="s">
        <v>958</v>
      </c>
      <c r="I17" s="54" t="s">
        <v>364</v>
      </c>
      <c r="J17" s="54" t="s">
        <v>365</v>
      </c>
      <c r="K17" s="54" t="s">
        <v>959</v>
      </c>
      <c r="L17" s="74" t="s">
        <v>367</v>
      </c>
      <c r="M17" s="54" t="s">
        <v>368</v>
      </c>
      <c r="N17" s="74" t="s">
        <v>369</v>
      </c>
      <c r="O17" s="74" t="s">
        <v>370</v>
      </c>
      <c r="P17" s="54" t="s">
        <v>361</v>
      </c>
    </row>
    <row r="18" spans="1:16" x14ac:dyDescent="0.25">
      <c r="A18" s="57">
        <v>45709</v>
      </c>
      <c r="B18" s="57" t="s">
        <v>961</v>
      </c>
      <c r="C18" s="58">
        <f>G18*B$7+H18*B$8+I18*B$9+J18*B$10+K18*B$11+L18*B$12+M18*B$13+N18*B$14+B$15*O18</f>
        <v>693</v>
      </c>
      <c r="D18" s="58">
        <f>G18*C$7+H18*C$8+I18*C$9+J18*C$10+K18*C$11+L18*C$12+M18*C$13+N18*C$14+C$15*O18</f>
        <v>814</v>
      </c>
      <c r="E18" s="58">
        <f>D18-C18</f>
        <v>121</v>
      </c>
      <c r="F18">
        <f>SUM(G18:P19)</f>
        <v>16</v>
      </c>
      <c r="G18" s="59">
        <v>6</v>
      </c>
      <c r="H18" s="73">
        <v>1</v>
      </c>
      <c r="I18">
        <v>0</v>
      </c>
      <c r="J18">
        <v>1</v>
      </c>
      <c r="K18">
        <v>2</v>
      </c>
      <c r="L18">
        <v>1</v>
      </c>
      <c r="M18">
        <v>0</v>
      </c>
      <c r="N18">
        <v>0</v>
      </c>
      <c r="O18">
        <v>1</v>
      </c>
      <c r="P18">
        <v>0</v>
      </c>
    </row>
    <row r="19" spans="1:16" x14ac:dyDescent="0.25">
      <c r="A19" s="57"/>
      <c r="B19" s="57"/>
      <c r="C19" s="58">
        <f>G19*B$7+H19*B$8+I19*B$9+J19*B$10+K19*B$11+L19*B$12+M19*B$13+N19*B$14+B$15*O19</f>
        <v>409</v>
      </c>
      <c r="D19" s="58">
        <f>G19*C$7+H19*C$8+I19*C$9+J19*C$10+K19*C$11+L19*C$12+M19*C$13+N19*C$14+C$15*O19</f>
        <v>509</v>
      </c>
      <c r="E19" s="91">
        <f>D19-C19</f>
        <v>100</v>
      </c>
      <c r="F19" s="58">
        <f>SUM(G19:P20)</f>
        <v>4</v>
      </c>
      <c r="G19" s="59">
        <v>0</v>
      </c>
      <c r="H19" s="73">
        <v>0</v>
      </c>
      <c r="I19">
        <v>1</v>
      </c>
      <c r="J19">
        <v>0</v>
      </c>
      <c r="K19">
        <v>1</v>
      </c>
      <c r="L19">
        <v>1</v>
      </c>
      <c r="M19">
        <v>0</v>
      </c>
      <c r="N19">
        <v>0</v>
      </c>
      <c r="O19">
        <v>0</v>
      </c>
      <c r="P19" s="58">
        <v>1</v>
      </c>
    </row>
    <row r="21" spans="1:16" x14ac:dyDescent="0.25">
      <c r="B21" s="58">
        <f>B7*6</f>
        <v>210</v>
      </c>
      <c r="C21" s="58">
        <f>C7*6</f>
        <v>270</v>
      </c>
      <c r="D21" s="58">
        <f>C21-B21</f>
        <v>60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Costco_Botón1_Haga_clic_en">
                <anchor moveWithCells="1" sizeWithCells="1">
                  <from>
                    <xdr:col>3</xdr:col>
                    <xdr:colOff>752475</xdr:colOff>
                    <xdr:row>11</xdr:row>
                    <xdr:rowOff>19050</xdr:rowOff>
                  </from>
                  <to>
                    <xdr:col>4</xdr:col>
                    <xdr:colOff>1476375</xdr:colOff>
                    <xdr:row>12</xdr:row>
                    <xdr:rowOff>133350</xdr:rowOff>
                  </to>
                </anchor>
              </controlPr>
            </control>
          </mc:Choice>
        </mc:AlternateContent>
      </controls>
    </mc:Choice>
  </mc:AlternateContent>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EAA91-95DC-448F-8EAF-20A39B752493}">
  <sheetPr codeName="Hoja9"/>
  <dimension ref="A1:O305"/>
  <sheetViews>
    <sheetView zoomScale="80" zoomScaleNormal="80" workbookViewId="0">
      <selection activeCell="C41" sqref="C41"/>
    </sheetView>
  </sheetViews>
  <sheetFormatPr baseColWidth="10" defaultRowHeight="15" x14ac:dyDescent="0.25"/>
  <cols>
    <col min="1" max="1" width="20.28515625" customWidth="1"/>
    <col min="2" max="2" width="20.7109375" customWidth="1"/>
    <col min="3" max="3" width="19.85546875" customWidth="1"/>
    <col min="4" max="4" width="22.28515625" customWidth="1"/>
    <col min="5" max="5" width="19.85546875" customWidth="1"/>
    <col min="6" max="6" width="21.28515625" customWidth="1"/>
    <col min="7" max="7" width="23" customWidth="1"/>
    <col min="10" max="10" width="11.28515625" customWidth="1"/>
    <col min="11" max="11" width="11.42578125" hidden="1" customWidth="1"/>
    <col min="12" max="12" width="11.28515625" customWidth="1"/>
    <col min="13" max="13" width="16.5703125" customWidth="1"/>
  </cols>
  <sheetData>
    <row r="1" spans="1:15" x14ac:dyDescent="0.25">
      <c r="H1" t="s">
        <v>1257</v>
      </c>
      <c r="I1" t="s">
        <v>1262</v>
      </c>
      <c r="K1" t="s">
        <v>1259</v>
      </c>
      <c r="L1">
        <v>2023</v>
      </c>
    </row>
    <row r="2" spans="1:15" x14ac:dyDescent="0.25">
      <c r="A2" s="106" t="s">
        <v>1250</v>
      </c>
      <c r="B2" s="106" t="s">
        <v>1251</v>
      </c>
      <c r="C2" s="106" t="s">
        <v>1252</v>
      </c>
      <c r="D2" s="106" t="s">
        <v>1253</v>
      </c>
      <c r="E2" s="106" t="s">
        <v>1254</v>
      </c>
      <c r="F2" s="106" t="s">
        <v>1255</v>
      </c>
      <c r="G2" s="106" t="s">
        <v>1256</v>
      </c>
      <c r="H2" t="s">
        <v>1258</v>
      </c>
      <c r="I2">
        <v>2025</v>
      </c>
      <c r="K2" t="s">
        <v>1260</v>
      </c>
      <c r="L2">
        <v>2024</v>
      </c>
    </row>
    <row r="3" spans="1:15" x14ac:dyDescent="0.25">
      <c r="A3" s="108">
        <f>DATEVALUE("01/"&amp;I1&amp;I2)-WEEKDAY(DATEVALUE("01/"&amp;I1&amp;I2),2)</f>
        <v>45746</v>
      </c>
      <c r="B3" s="107">
        <f>A3+1</f>
        <v>45747</v>
      </c>
      <c r="C3" s="108">
        <f t="shared" ref="C3:G3" si="0">B3+1</f>
        <v>45748</v>
      </c>
      <c r="D3" s="107">
        <f t="shared" si="0"/>
        <v>45749</v>
      </c>
      <c r="E3" s="108">
        <f t="shared" si="0"/>
        <v>45750</v>
      </c>
      <c r="F3" s="107">
        <f t="shared" si="0"/>
        <v>45751</v>
      </c>
      <c r="G3" s="108">
        <f t="shared" si="0"/>
        <v>45752</v>
      </c>
      <c r="K3" t="s">
        <v>1261</v>
      </c>
      <c r="L3">
        <v>2025</v>
      </c>
      <c r="M3">
        <f>INT('Base Pedidito'!A43)</f>
        <v>45775</v>
      </c>
    </row>
    <row r="4" spans="1:15" x14ac:dyDescent="0.25">
      <c r="A4" s="112">
        <f t="shared" ref="A4:F4" si="1">COUNTIF($M$3:$M$210,A3)</f>
        <v>0</v>
      </c>
      <c r="B4" s="112">
        <f>COUNTIF($M$3:$M$300,B3)</f>
        <v>1</v>
      </c>
      <c r="C4" s="112">
        <f t="shared" si="1"/>
        <v>4</v>
      </c>
      <c r="D4" s="112">
        <f t="shared" si="1"/>
        <v>6</v>
      </c>
      <c r="E4" s="112">
        <f t="shared" si="1"/>
        <v>0</v>
      </c>
      <c r="F4" s="112">
        <f t="shared" si="1"/>
        <v>2</v>
      </c>
      <c r="G4" s="112">
        <f>COUNTIF($M$3:$M$210,G3)</f>
        <v>0</v>
      </c>
      <c r="H4" s="112">
        <f>SUM(B4:G4)</f>
        <v>13</v>
      </c>
      <c r="K4" t="s">
        <v>1262</v>
      </c>
      <c r="L4">
        <v>2026</v>
      </c>
      <c r="M4">
        <f>INT('Base Pedidito'!A44)</f>
        <v>45775</v>
      </c>
      <c r="O4" t="s">
        <v>1395</v>
      </c>
    </row>
    <row r="5" spans="1:15" x14ac:dyDescent="0.25">
      <c r="A5" s="112"/>
      <c r="B5" s="105"/>
      <c r="C5" s="109"/>
      <c r="D5" s="105"/>
      <c r="E5" s="109"/>
      <c r="F5" s="105"/>
      <c r="G5" s="109"/>
      <c r="K5" t="s">
        <v>1263</v>
      </c>
      <c r="L5">
        <v>2027</v>
      </c>
      <c r="M5">
        <f>INT('Base Pedidito'!A45)</f>
        <v>45775</v>
      </c>
      <c r="O5">
        <f>AVERAGE(H4,H9,H14,H19,H24,H29)</f>
        <v>9.6666666666666661</v>
      </c>
    </row>
    <row r="6" spans="1:15" x14ac:dyDescent="0.25">
      <c r="A6" s="112"/>
      <c r="B6" s="105"/>
      <c r="C6" s="109"/>
      <c r="D6" s="105"/>
      <c r="E6" s="109"/>
      <c r="F6" s="105"/>
      <c r="G6" s="109"/>
      <c r="K6" t="s">
        <v>1264</v>
      </c>
      <c r="L6">
        <v>2028</v>
      </c>
      <c r="M6">
        <f>INT('Base Pedidito'!A46)</f>
        <v>45775</v>
      </c>
    </row>
    <row r="7" spans="1:15" x14ac:dyDescent="0.25">
      <c r="A7" s="110"/>
      <c r="B7" s="105"/>
      <c r="C7" s="110"/>
      <c r="D7" s="105"/>
      <c r="E7" s="110"/>
      <c r="F7" s="105"/>
      <c r="G7" s="110"/>
      <c r="K7" t="s">
        <v>1265</v>
      </c>
      <c r="L7">
        <v>2029</v>
      </c>
      <c r="M7">
        <f>INT('Base Pedidito'!A47)</f>
        <v>45772</v>
      </c>
    </row>
    <row r="8" spans="1:15" x14ac:dyDescent="0.25">
      <c r="A8" s="108">
        <f>A3+7</f>
        <v>45753</v>
      </c>
      <c r="B8" s="107">
        <f>A8+1</f>
        <v>45754</v>
      </c>
      <c r="C8" s="108">
        <f t="shared" ref="C8:G8" si="2">B8+1</f>
        <v>45755</v>
      </c>
      <c r="D8" s="107">
        <f t="shared" si="2"/>
        <v>45756</v>
      </c>
      <c r="E8" s="108">
        <f t="shared" si="2"/>
        <v>45757</v>
      </c>
      <c r="F8" s="107">
        <f t="shared" si="2"/>
        <v>45758</v>
      </c>
      <c r="G8" s="108">
        <f t="shared" si="2"/>
        <v>45759</v>
      </c>
      <c r="K8" t="s">
        <v>1266</v>
      </c>
      <c r="M8">
        <f>INT('Base Pedidito'!A48)</f>
        <v>45772</v>
      </c>
    </row>
    <row r="9" spans="1:15" x14ac:dyDescent="0.25">
      <c r="A9" s="112">
        <f>COUNTIF($M$3:$M$180,A8)</f>
        <v>0</v>
      </c>
      <c r="B9" s="112">
        <f>COUNTIF($M$3:$M$276,B8)</f>
        <v>0</v>
      </c>
      <c r="C9" s="112">
        <f t="shared" ref="C9:G9" si="3">COUNTIF($M$3:$M$276,C8)</f>
        <v>5</v>
      </c>
      <c r="D9" s="112">
        <f t="shared" si="3"/>
        <v>8</v>
      </c>
      <c r="E9" s="112">
        <f t="shared" si="3"/>
        <v>0</v>
      </c>
      <c r="F9" s="112">
        <f t="shared" si="3"/>
        <v>0</v>
      </c>
      <c r="G9" s="112">
        <f t="shared" si="3"/>
        <v>0</v>
      </c>
      <c r="H9" s="112">
        <f>SUM(B9:G9)</f>
        <v>13</v>
      </c>
      <c r="K9" t="s">
        <v>1267</v>
      </c>
      <c r="M9">
        <f>INT('Base Pedidito'!A49)</f>
        <v>45771</v>
      </c>
    </row>
    <row r="10" spans="1:15" x14ac:dyDescent="0.25">
      <c r="A10" s="109"/>
      <c r="B10" s="105"/>
      <c r="C10" s="109"/>
      <c r="D10" s="105"/>
      <c r="E10" s="109"/>
      <c r="F10" s="105"/>
      <c r="G10" s="109"/>
      <c r="K10" t="s">
        <v>1268</v>
      </c>
      <c r="M10">
        <f>INT('Base Pedidito'!A50)</f>
        <v>45771</v>
      </c>
    </row>
    <row r="11" spans="1:15" x14ac:dyDescent="0.25">
      <c r="A11" s="109"/>
      <c r="B11" s="105"/>
      <c r="C11" s="109"/>
      <c r="D11" s="105"/>
      <c r="E11" s="109"/>
      <c r="F11" s="105"/>
      <c r="G11" s="109"/>
      <c r="K11" t="s">
        <v>1269</v>
      </c>
      <c r="M11">
        <f>INT('Base Pedidito'!A51)</f>
        <v>45764</v>
      </c>
    </row>
    <row r="12" spans="1:15" x14ac:dyDescent="0.25">
      <c r="A12" s="110"/>
      <c r="B12" s="105"/>
      <c r="C12" s="110"/>
      <c r="D12" s="105"/>
      <c r="E12" s="110"/>
      <c r="F12" s="105"/>
      <c r="G12" s="110"/>
      <c r="K12" t="s">
        <v>1270</v>
      </c>
      <c r="M12">
        <f>INT('Base Pedidito'!A52)</f>
        <v>45764</v>
      </c>
    </row>
    <row r="13" spans="1:15" x14ac:dyDescent="0.25">
      <c r="A13" s="108">
        <f>A8+7</f>
        <v>45760</v>
      </c>
      <c r="B13" s="107">
        <f>A13+1</f>
        <v>45761</v>
      </c>
      <c r="C13" s="108">
        <f t="shared" ref="C13:G13" si="4">B13+1</f>
        <v>45762</v>
      </c>
      <c r="D13" s="107">
        <f t="shared" si="4"/>
        <v>45763</v>
      </c>
      <c r="E13" s="108">
        <f t="shared" si="4"/>
        <v>45764</v>
      </c>
      <c r="F13" s="107">
        <f t="shared" si="4"/>
        <v>45765</v>
      </c>
      <c r="G13" s="108">
        <f t="shared" si="4"/>
        <v>45766</v>
      </c>
      <c r="M13">
        <f>INT('Base Pedidito'!A53)</f>
        <v>45764</v>
      </c>
    </row>
    <row r="14" spans="1:15" x14ac:dyDescent="0.25">
      <c r="A14" s="112">
        <f>COUNTIF($M$3:$M$180,A13)</f>
        <v>0</v>
      </c>
      <c r="B14" s="112">
        <f>COUNTIF($M$3:$M$276,B13)</f>
        <v>2</v>
      </c>
      <c r="C14" s="112">
        <f t="shared" ref="C14:G14" si="5">COUNTIF($M$3:$M$276,C13)</f>
        <v>5</v>
      </c>
      <c r="D14" s="112">
        <f t="shared" si="5"/>
        <v>6</v>
      </c>
      <c r="E14" s="112">
        <f t="shared" si="5"/>
        <v>5</v>
      </c>
      <c r="F14" s="112">
        <f t="shared" si="5"/>
        <v>0</v>
      </c>
      <c r="G14" s="112">
        <f t="shared" si="5"/>
        <v>0</v>
      </c>
      <c r="H14" s="112">
        <f>SUM(B14:G14)</f>
        <v>18</v>
      </c>
      <c r="M14">
        <f>INT('Base Pedidito'!A54)</f>
        <v>45764</v>
      </c>
    </row>
    <row r="15" spans="1:15" x14ac:dyDescent="0.25">
      <c r="A15" s="109"/>
      <c r="B15" s="105"/>
      <c r="C15" s="109"/>
      <c r="D15" s="105"/>
      <c r="E15" s="109"/>
      <c r="F15" s="105"/>
      <c r="G15" s="109"/>
      <c r="M15">
        <f>INT('Base Pedidito'!A55)</f>
        <v>45764</v>
      </c>
    </row>
    <row r="16" spans="1:15" x14ac:dyDescent="0.25">
      <c r="A16" s="109"/>
      <c r="B16" s="105"/>
      <c r="C16" s="109"/>
      <c r="D16" s="105"/>
      <c r="E16" s="109"/>
      <c r="F16" s="105"/>
      <c r="G16" s="109"/>
      <c r="M16">
        <f>INT('Base Pedidito'!A56)</f>
        <v>45763</v>
      </c>
    </row>
    <row r="17" spans="1:13" x14ac:dyDescent="0.25">
      <c r="A17" s="110"/>
      <c r="B17" s="105"/>
      <c r="C17" s="110"/>
      <c r="D17" s="105"/>
      <c r="E17" s="110"/>
      <c r="F17" s="105"/>
      <c r="G17" s="110"/>
      <c r="M17">
        <f>INT('Base Pedidito'!A57)</f>
        <v>45763</v>
      </c>
    </row>
    <row r="18" spans="1:13" x14ac:dyDescent="0.25">
      <c r="A18" s="108">
        <f>A13+7</f>
        <v>45767</v>
      </c>
      <c r="B18" s="107">
        <f>A18+1</f>
        <v>45768</v>
      </c>
      <c r="C18" s="108">
        <f t="shared" ref="C18:G18" si="6">B18+1</f>
        <v>45769</v>
      </c>
      <c r="D18" s="107">
        <f t="shared" si="6"/>
        <v>45770</v>
      </c>
      <c r="E18" s="108">
        <f t="shared" si="6"/>
        <v>45771</v>
      </c>
      <c r="F18" s="107">
        <f t="shared" si="6"/>
        <v>45772</v>
      </c>
      <c r="G18" s="108">
        <f t="shared" si="6"/>
        <v>45773</v>
      </c>
      <c r="M18">
        <f>INT('Base Pedidito'!A58)</f>
        <v>45763</v>
      </c>
    </row>
    <row r="19" spans="1:13" x14ac:dyDescent="0.25">
      <c r="A19" s="112">
        <f>COUNTIF($M$3:$M$180,A18)</f>
        <v>0</v>
      </c>
      <c r="B19" s="112">
        <f t="shared" ref="B19:G19" si="7">COUNTIF($M$3:$M$180,B18)</f>
        <v>0</v>
      </c>
      <c r="C19" s="112">
        <f t="shared" si="7"/>
        <v>0</v>
      </c>
      <c r="D19" s="112">
        <f t="shared" si="7"/>
        <v>0</v>
      </c>
      <c r="E19" s="112">
        <f t="shared" si="7"/>
        <v>2</v>
      </c>
      <c r="F19" s="112">
        <f t="shared" si="7"/>
        <v>2</v>
      </c>
      <c r="G19" s="112">
        <f t="shared" si="7"/>
        <v>0</v>
      </c>
      <c r="H19" s="112">
        <f>SUM(B19:G19)</f>
        <v>4</v>
      </c>
      <c r="M19">
        <f>INT('Base Pedidito'!A59)</f>
        <v>45763</v>
      </c>
    </row>
    <row r="20" spans="1:13" x14ac:dyDescent="0.25">
      <c r="A20" s="109"/>
      <c r="B20" s="105"/>
      <c r="C20" s="109"/>
      <c r="D20" s="105"/>
      <c r="E20" s="109"/>
      <c r="F20" s="105"/>
      <c r="G20" s="109"/>
      <c r="M20">
        <f>INT('Base Pedidito'!A60)</f>
        <v>45763</v>
      </c>
    </row>
    <row r="21" spans="1:13" x14ac:dyDescent="0.25">
      <c r="A21" s="109"/>
      <c r="B21" s="105"/>
      <c r="C21" s="109"/>
      <c r="D21" s="105"/>
      <c r="E21" s="109"/>
      <c r="F21" s="105"/>
      <c r="G21" s="109"/>
      <c r="M21">
        <f>INT('Base Pedidito'!A61)</f>
        <v>45763</v>
      </c>
    </row>
    <row r="22" spans="1:13" x14ac:dyDescent="0.25">
      <c r="A22" s="111"/>
      <c r="B22" s="104"/>
      <c r="C22" s="111"/>
      <c r="D22" s="104"/>
      <c r="E22" s="111"/>
      <c r="F22" s="104"/>
      <c r="G22" s="111"/>
      <c r="M22">
        <f>INT('Base Pedidito'!A62)</f>
        <v>45762</v>
      </c>
    </row>
    <row r="23" spans="1:13" x14ac:dyDescent="0.25">
      <c r="A23" s="108">
        <f>A18+7</f>
        <v>45774</v>
      </c>
      <c r="B23" s="107">
        <f>A23+1</f>
        <v>45775</v>
      </c>
      <c r="C23" s="108">
        <f t="shared" ref="C23:G23" si="8">B23+1</f>
        <v>45776</v>
      </c>
      <c r="D23" s="107">
        <f t="shared" si="8"/>
        <v>45777</v>
      </c>
      <c r="E23" s="108">
        <f t="shared" si="8"/>
        <v>45778</v>
      </c>
      <c r="F23" s="107">
        <f t="shared" si="8"/>
        <v>45779</v>
      </c>
      <c r="G23" s="108">
        <f t="shared" si="8"/>
        <v>45780</v>
      </c>
      <c r="M23">
        <f>INT('Base Pedidito'!A63)</f>
        <v>45762</v>
      </c>
    </row>
    <row r="24" spans="1:13" x14ac:dyDescent="0.25">
      <c r="A24" s="112">
        <f>COUNTIF($M$3:$M$180,A23)</f>
        <v>0</v>
      </c>
      <c r="B24" s="112">
        <f t="shared" ref="B24:G24" si="9">COUNTIF($M$3:$M$180,B23)</f>
        <v>4</v>
      </c>
      <c r="C24" s="112">
        <f t="shared" si="9"/>
        <v>0</v>
      </c>
      <c r="D24" s="112">
        <f t="shared" si="9"/>
        <v>0</v>
      </c>
      <c r="E24" s="112">
        <f t="shared" si="9"/>
        <v>0</v>
      </c>
      <c r="F24" s="112">
        <f t="shared" si="9"/>
        <v>0</v>
      </c>
      <c r="G24" s="112">
        <f t="shared" si="9"/>
        <v>6</v>
      </c>
      <c r="H24" s="112">
        <f>SUM(B24:G24)</f>
        <v>10</v>
      </c>
      <c r="M24">
        <f>INT('Base Pedidito'!A64)</f>
        <v>45762</v>
      </c>
    </row>
    <row r="25" spans="1:13" x14ac:dyDescent="0.25">
      <c r="A25" s="112"/>
      <c r="B25" s="104"/>
      <c r="C25" s="112"/>
      <c r="D25" s="104"/>
      <c r="E25" s="112"/>
      <c r="F25" s="104"/>
      <c r="G25" s="112"/>
      <c r="M25">
        <f>INT('Base Pedidito'!A65)</f>
        <v>45762</v>
      </c>
    </row>
    <row r="26" spans="1:13" x14ac:dyDescent="0.25">
      <c r="A26" s="112"/>
      <c r="B26" s="104"/>
      <c r="C26" s="112"/>
      <c r="D26" s="104"/>
      <c r="E26" s="112"/>
      <c r="F26" s="104"/>
      <c r="G26" s="112"/>
      <c r="M26">
        <f>INT('Base Pedidito'!A66)</f>
        <v>45762</v>
      </c>
    </row>
    <row r="27" spans="1:13" x14ac:dyDescent="0.25">
      <c r="A27" s="111"/>
      <c r="B27" s="104"/>
      <c r="C27" s="111"/>
      <c r="D27" s="104"/>
      <c r="E27" s="111"/>
      <c r="F27" s="104"/>
      <c r="G27" s="111"/>
      <c r="M27">
        <f>INT('Base Pedidito'!A67)</f>
        <v>45761</v>
      </c>
    </row>
    <row r="28" spans="1:13" x14ac:dyDescent="0.25">
      <c r="A28" s="108">
        <f>A23+7</f>
        <v>45781</v>
      </c>
      <c r="B28" s="107">
        <f>A28+1</f>
        <v>45782</v>
      </c>
      <c r="C28" s="108">
        <f t="shared" ref="C28:E28" si="10">B28+1</f>
        <v>45783</v>
      </c>
      <c r="D28" s="107">
        <f t="shared" si="10"/>
        <v>45784</v>
      </c>
      <c r="E28" s="108">
        <f t="shared" si="10"/>
        <v>45785</v>
      </c>
      <c r="F28" s="107">
        <f>E28+1</f>
        <v>45786</v>
      </c>
      <c r="G28" s="108">
        <f>F28+1</f>
        <v>45787</v>
      </c>
      <c r="M28">
        <f>INT('Base Pedidito'!A68)</f>
        <v>45761</v>
      </c>
    </row>
    <row r="29" spans="1:13" x14ac:dyDescent="0.25">
      <c r="A29" s="112">
        <f>COUNTIF($M$3:$M$180,A28)</f>
        <v>0</v>
      </c>
      <c r="B29" s="112">
        <f>COUNTIF($M$3:$M$229,B28)</f>
        <v>0</v>
      </c>
      <c r="C29" s="112">
        <f t="shared" ref="C29:G29" si="11">COUNTIF($M$3:$M$180,C28)</f>
        <v>0</v>
      </c>
      <c r="D29" s="112">
        <f t="shared" si="11"/>
        <v>0</v>
      </c>
      <c r="E29" s="112">
        <f t="shared" si="11"/>
        <v>0</v>
      </c>
      <c r="F29" s="112">
        <f t="shared" si="11"/>
        <v>0</v>
      </c>
      <c r="G29" s="112">
        <f t="shared" si="11"/>
        <v>0</v>
      </c>
      <c r="H29" s="112">
        <f>SUM(B29:G29)</f>
        <v>0</v>
      </c>
      <c r="M29">
        <f>INT('Base Pedidito'!A69)</f>
        <v>45756</v>
      </c>
    </row>
    <row r="30" spans="1:13" x14ac:dyDescent="0.25">
      <c r="A30" s="112"/>
      <c r="B30" s="104"/>
      <c r="C30" s="112"/>
      <c r="D30" s="104"/>
      <c r="E30" s="112"/>
      <c r="F30" s="104"/>
      <c r="G30" s="112"/>
      <c r="M30">
        <f>INT('Base Pedidito'!A70)</f>
        <v>45756</v>
      </c>
    </row>
    <row r="31" spans="1:13" x14ac:dyDescent="0.25">
      <c r="A31" s="112"/>
      <c r="B31" s="104"/>
      <c r="C31" s="112"/>
      <c r="D31" s="104"/>
      <c r="E31" s="112"/>
      <c r="F31" s="104"/>
      <c r="G31" s="112"/>
      <c r="M31">
        <f>INT('Base Pedidito'!A71)</f>
        <v>45756</v>
      </c>
    </row>
    <row r="32" spans="1:13" x14ac:dyDescent="0.25">
      <c r="A32" s="111"/>
      <c r="B32" s="104"/>
      <c r="C32" s="111"/>
      <c r="D32" s="104"/>
      <c r="E32" s="111"/>
      <c r="F32" s="104"/>
      <c r="G32" s="111"/>
      <c r="M32">
        <f>INT('Base Pedidito'!A72)</f>
        <v>45756</v>
      </c>
    </row>
    <row r="33" spans="13:13" x14ac:dyDescent="0.25">
      <c r="M33">
        <f>INT('Base Pedidito'!A73)</f>
        <v>45756</v>
      </c>
    </row>
    <row r="34" spans="13:13" x14ac:dyDescent="0.25">
      <c r="M34">
        <f>INT('Base Pedidito'!A74)</f>
        <v>45756</v>
      </c>
    </row>
    <row r="35" spans="13:13" x14ac:dyDescent="0.25">
      <c r="M35">
        <f>INT('Base Pedidito'!A75)</f>
        <v>45756</v>
      </c>
    </row>
    <row r="36" spans="13:13" x14ac:dyDescent="0.25">
      <c r="M36">
        <f>INT('Base Pedidito'!A76)</f>
        <v>45756</v>
      </c>
    </row>
    <row r="37" spans="13:13" x14ac:dyDescent="0.25">
      <c r="M37">
        <f>INT('Base Pedidito'!A77)</f>
        <v>45755</v>
      </c>
    </row>
    <row r="38" spans="13:13" x14ac:dyDescent="0.25">
      <c r="M38">
        <f>INT('Base Pedidito'!A78)</f>
        <v>45755</v>
      </c>
    </row>
    <row r="39" spans="13:13" x14ac:dyDescent="0.25">
      <c r="M39">
        <f>INT('Base Pedidito'!A79)</f>
        <v>45755</v>
      </c>
    </row>
    <row r="40" spans="13:13" x14ac:dyDescent="0.25">
      <c r="M40">
        <f>INT('Base Pedidito'!A80)</f>
        <v>45755</v>
      </c>
    </row>
    <row r="41" spans="13:13" x14ac:dyDescent="0.25">
      <c r="M41">
        <f>INT('Base Pedidito'!A81)</f>
        <v>45755</v>
      </c>
    </row>
    <row r="42" spans="13:13" x14ac:dyDescent="0.25">
      <c r="M42">
        <f>INT('Base Pedidito'!A82)</f>
        <v>45751</v>
      </c>
    </row>
    <row r="43" spans="13:13" x14ac:dyDescent="0.25">
      <c r="M43">
        <f>INT('Base Pedidito'!A83)</f>
        <v>45751</v>
      </c>
    </row>
    <row r="44" spans="13:13" x14ac:dyDescent="0.25">
      <c r="M44">
        <f>INT('Base Pedidito'!A84)</f>
        <v>45749</v>
      </c>
    </row>
    <row r="45" spans="13:13" x14ac:dyDescent="0.25">
      <c r="M45">
        <f>INT('Base Pedidito'!A85)</f>
        <v>45749</v>
      </c>
    </row>
    <row r="46" spans="13:13" x14ac:dyDescent="0.25">
      <c r="M46">
        <f>INT('Base Pedidito'!A86)</f>
        <v>45749</v>
      </c>
    </row>
    <row r="47" spans="13:13" x14ac:dyDescent="0.25">
      <c r="M47">
        <f>INT('Base Pedidito'!A87)</f>
        <v>45749</v>
      </c>
    </row>
    <row r="48" spans="13:13" x14ac:dyDescent="0.25">
      <c r="M48">
        <f>INT('Base Pedidito'!A88)</f>
        <v>45749</v>
      </c>
    </row>
    <row r="49" spans="13:13" x14ac:dyDescent="0.25">
      <c r="M49">
        <f>INT('Base Pedidito'!A89)</f>
        <v>45749</v>
      </c>
    </row>
    <row r="50" spans="13:13" x14ac:dyDescent="0.25">
      <c r="M50">
        <f>INT('Base Pedidito'!A90)</f>
        <v>45748</v>
      </c>
    </row>
    <row r="51" spans="13:13" x14ac:dyDescent="0.25">
      <c r="M51">
        <f>INT('Base Pedidito'!A91)</f>
        <v>45748</v>
      </c>
    </row>
    <row r="52" spans="13:13" x14ac:dyDescent="0.25">
      <c r="M52">
        <f>INT('Base Pedidito'!A92)</f>
        <v>45748</v>
      </c>
    </row>
    <row r="53" spans="13:13" x14ac:dyDescent="0.25">
      <c r="M53">
        <f>INT('Base Pedidito'!A93)</f>
        <v>45748</v>
      </c>
    </row>
    <row r="54" spans="13:13" x14ac:dyDescent="0.25">
      <c r="M54">
        <f>INT('Base Pedidito'!A94)</f>
        <v>45747</v>
      </c>
    </row>
    <row r="55" spans="13:13" x14ac:dyDescent="0.25">
      <c r="M55">
        <f>INT('Base Pedidito'!A95)</f>
        <v>45745</v>
      </c>
    </row>
    <row r="56" spans="13:13" x14ac:dyDescent="0.25">
      <c r="M56">
        <f>INT('Base Pedidito'!A96)</f>
        <v>45745</v>
      </c>
    </row>
    <row r="57" spans="13:13" x14ac:dyDescent="0.25">
      <c r="M57">
        <f>INT('Base Pedidito'!A97)</f>
        <v>45744</v>
      </c>
    </row>
    <row r="58" spans="13:13" x14ac:dyDescent="0.25">
      <c r="M58">
        <f>INT('Base Pedidito'!A98)</f>
        <v>45744</v>
      </c>
    </row>
    <row r="59" spans="13:13" x14ac:dyDescent="0.25">
      <c r="M59">
        <f>INT('Base Pedidito'!A99)</f>
        <v>45743</v>
      </c>
    </row>
    <row r="60" spans="13:13" x14ac:dyDescent="0.25">
      <c r="M60">
        <f>INT('Base Pedidito'!A100)</f>
        <v>45742</v>
      </c>
    </row>
    <row r="61" spans="13:13" x14ac:dyDescent="0.25">
      <c r="M61">
        <f>INT('Base Pedidito'!A101)</f>
        <v>45742</v>
      </c>
    </row>
    <row r="62" spans="13:13" x14ac:dyDescent="0.25">
      <c r="M62">
        <f>INT('Base Pedidito'!A102)</f>
        <v>45741</v>
      </c>
    </row>
    <row r="63" spans="13:13" x14ac:dyDescent="0.25">
      <c r="M63">
        <f>INT('Base Pedidito'!A103)</f>
        <v>45741</v>
      </c>
    </row>
    <row r="64" spans="13:13" x14ac:dyDescent="0.25">
      <c r="M64">
        <f>INT('Base Pedidito'!A104)</f>
        <v>45737</v>
      </c>
    </row>
    <row r="65" spans="13:13" x14ac:dyDescent="0.25">
      <c r="M65">
        <f>INT('Base Pedidito'!A105)</f>
        <v>45736</v>
      </c>
    </row>
    <row r="66" spans="13:13" x14ac:dyDescent="0.25">
      <c r="M66">
        <f>INT('Base Pedidito'!A106)</f>
        <v>45735</v>
      </c>
    </row>
    <row r="67" spans="13:13" x14ac:dyDescent="0.25">
      <c r="M67">
        <f>INT('Base Pedidito'!A107)</f>
        <v>45735</v>
      </c>
    </row>
    <row r="68" spans="13:13" x14ac:dyDescent="0.25">
      <c r="M68">
        <f>INT('Base Pedidito'!A108)</f>
        <v>45735</v>
      </c>
    </row>
    <row r="69" spans="13:13" x14ac:dyDescent="0.25">
      <c r="M69">
        <f>INT('Base Pedidito'!A109)</f>
        <v>45735</v>
      </c>
    </row>
    <row r="70" spans="13:13" x14ac:dyDescent="0.25">
      <c r="M70">
        <f>INT('Base Pedidito'!A110)</f>
        <v>45735</v>
      </c>
    </row>
    <row r="71" spans="13:13" x14ac:dyDescent="0.25">
      <c r="M71">
        <f>INT('Base Pedidito'!A111)</f>
        <v>45735</v>
      </c>
    </row>
    <row r="72" spans="13:13" x14ac:dyDescent="0.25">
      <c r="M72">
        <f>INT('Base Pedidito'!A112)</f>
        <v>45734</v>
      </c>
    </row>
    <row r="73" spans="13:13" x14ac:dyDescent="0.25">
      <c r="M73">
        <f>INT('Base Pedidito'!A113)</f>
        <v>45734</v>
      </c>
    </row>
    <row r="74" spans="13:13" x14ac:dyDescent="0.25">
      <c r="M74">
        <f>INT('Base Pedidito'!A114)</f>
        <v>45734</v>
      </c>
    </row>
    <row r="75" spans="13:13" x14ac:dyDescent="0.25">
      <c r="M75">
        <f>INT('Base Pedidito'!A115)</f>
        <v>45734</v>
      </c>
    </row>
    <row r="76" spans="13:13" x14ac:dyDescent="0.25">
      <c r="M76">
        <f>INT('Base Pedidito'!A116)</f>
        <v>45733</v>
      </c>
    </row>
    <row r="77" spans="13:13" x14ac:dyDescent="0.25">
      <c r="M77">
        <f>INT('Base Pedidito'!A117)</f>
        <v>45733</v>
      </c>
    </row>
    <row r="78" spans="13:13" x14ac:dyDescent="0.25">
      <c r="M78">
        <f>INT('Base Pedidito'!A118)</f>
        <v>45733</v>
      </c>
    </row>
    <row r="79" spans="13:13" x14ac:dyDescent="0.25">
      <c r="M79">
        <f>INT('Base Pedidito'!A119)</f>
        <v>45733</v>
      </c>
    </row>
    <row r="80" spans="13:13" x14ac:dyDescent="0.25">
      <c r="M80">
        <f>INT('Base Pedidito'!A120)</f>
        <v>45733</v>
      </c>
    </row>
    <row r="81" spans="13:13" x14ac:dyDescent="0.25">
      <c r="M81">
        <f>INT('Base Pedidito'!A121)</f>
        <v>45730</v>
      </c>
    </row>
    <row r="82" spans="13:13" x14ac:dyDescent="0.25">
      <c r="M82">
        <f>INT('Base Pedidito'!A122)</f>
        <v>45730</v>
      </c>
    </row>
    <row r="83" spans="13:13" x14ac:dyDescent="0.25">
      <c r="M83">
        <f>INT('Base Pedidito'!A123)</f>
        <v>45730</v>
      </c>
    </row>
    <row r="84" spans="13:13" x14ac:dyDescent="0.25">
      <c r="M84">
        <f>INT('Base Pedidito'!A124)</f>
        <v>45730</v>
      </c>
    </row>
    <row r="85" spans="13:13" x14ac:dyDescent="0.25">
      <c r="M85">
        <f>INT('Base Pedidito'!A125)</f>
        <v>45730</v>
      </c>
    </row>
    <row r="86" spans="13:13" x14ac:dyDescent="0.25">
      <c r="M86">
        <f>INT('Base Pedidito'!A126)</f>
        <v>45730</v>
      </c>
    </row>
    <row r="87" spans="13:13" x14ac:dyDescent="0.25">
      <c r="M87">
        <f>INT('Base Pedidito'!A127)</f>
        <v>45730</v>
      </c>
    </row>
    <row r="88" spans="13:13" x14ac:dyDescent="0.25">
      <c r="M88">
        <f>INT('Base Pedidito'!A128)</f>
        <v>45730</v>
      </c>
    </row>
    <row r="89" spans="13:13" x14ac:dyDescent="0.25">
      <c r="M89">
        <f>INT('Base Pedidito'!A129)</f>
        <v>45730</v>
      </c>
    </row>
    <row r="90" spans="13:13" x14ac:dyDescent="0.25">
      <c r="M90">
        <f>INT('Base Pedidito'!A130)</f>
        <v>45729</v>
      </c>
    </row>
    <row r="91" spans="13:13" x14ac:dyDescent="0.25">
      <c r="M91">
        <f>INT('Base Pedidito'!A131)</f>
        <v>45729</v>
      </c>
    </row>
    <row r="92" spans="13:13" x14ac:dyDescent="0.25">
      <c r="M92">
        <f>INT('Base Pedidito'!A132)</f>
        <v>45729</v>
      </c>
    </row>
    <row r="93" spans="13:13" x14ac:dyDescent="0.25">
      <c r="M93">
        <f>INT('Base Pedidito'!A133)</f>
        <v>45729</v>
      </c>
    </row>
    <row r="94" spans="13:13" x14ac:dyDescent="0.25">
      <c r="M94">
        <f>INT('Base Pedidito'!A134)</f>
        <v>45729</v>
      </c>
    </row>
    <row r="95" spans="13:13" x14ac:dyDescent="0.25">
      <c r="M95">
        <f>INT('Base Pedidito'!A135)</f>
        <v>45729</v>
      </c>
    </row>
    <row r="96" spans="13:13" x14ac:dyDescent="0.25">
      <c r="M96">
        <f>INT('Base Pedidito'!A136)</f>
        <v>45728</v>
      </c>
    </row>
    <row r="97" spans="13:13" x14ac:dyDescent="0.25">
      <c r="M97">
        <f>INT('Base Pedidito'!A137)</f>
        <v>45728</v>
      </c>
    </row>
    <row r="98" spans="13:13" x14ac:dyDescent="0.25">
      <c r="M98">
        <f>INT('Base Pedidito'!A138)</f>
        <v>45728</v>
      </c>
    </row>
    <row r="99" spans="13:13" x14ac:dyDescent="0.25">
      <c r="M99">
        <f>INT('Base Pedidito'!A139)</f>
        <v>45728</v>
      </c>
    </row>
    <row r="100" spans="13:13" x14ac:dyDescent="0.25">
      <c r="M100">
        <f>INT('Base Pedidito'!A140)</f>
        <v>45728</v>
      </c>
    </row>
    <row r="101" spans="13:13" x14ac:dyDescent="0.25">
      <c r="M101">
        <f>INT('Base Pedidito'!A141)</f>
        <v>1</v>
      </c>
    </row>
    <row r="102" spans="13:13" x14ac:dyDescent="0.25">
      <c r="M102">
        <f>INT('Base Pedidito'!A142)</f>
        <v>45727</v>
      </c>
    </row>
    <row r="103" spans="13:13" x14ac:dyDescent="0.25">
      <c r="M103">
        <f>INT('Base Pedidito'!A143)</f>
        <v>45727</v>
      </c>
    </row>
    <row r="104" spans="13:13" x14ac:dyDescent="0.25">
      <c r="M104">
        <f>INT('Base Pedidito'!A144)</f>
        <v>45727</v>
      </c>
    </row>
    <row r="105" spans="13:13" x14ac:dyDescent="0.25">
      <c r="M105">
        <f>INT('Base Pedidito'!A145)</f>
        <v>45726</v>
      </c>
    </row>
    <row r="106" spans="13:13" x14ac:dyDescent="0.25">
      <c r="M106">
        <f>INT('Base Pedidito'!A146)</f>
        <v>45726</v>
      </c>
    </row>
    <row r="107" spans="13:13" x14ac:dyDescent="0.25">
      <c r="M107">
        <f>INT('Base Pedidito'!A147)</f>
        <v>45724</v>
      </c>
    </row>
    <row r="108" spans="13:13" x14ac:dyDescent="0.25">
      <c r="M108">
        <f>INT('Base Pedidito'!A148)</f>
        <v>45724</v>
      </c>
    </row>
    <row r="109" spans="13:13" x14ac:dyDescent="0.25">
      <c r="M109">
        <f>INT('Base Pedidito'!A149)</f>
        <v>45724</v>
      </c>
    </row>
    <row r="110" spans="13:13" x14ac:dyDescent="0.25">
      <c r="M110">
        <f>INT('Base Pedidito'!A150)</f>
        <v>45723</v>
      </c>
    </row>
    <row r="111" spans="13:13" x14ac:dyDescent="0.25">
      <c r="M111">
        <f>INT('Base Pedidito'!A151)</f>
        <v>45723</v>
      </c>
    </row>
    <row r="112" spans="13:13" x14ac:dyDescent="0.25">
      <c r="M112">
        <f>INT('Base Pedidito'!A152)</f>
        <v>45723</v>
      </c>
    </row>
    <row r="113" spans="13:13" x14ac:dyDescent="0.25">
      <c r="M113">
        <f>INT('Base Pedidito'!A153)</f>
        <v>45723</v>
      </c>
    </row>
    <row r="114" spans="13:13" x14ac:dyDescent="0.25">
      <c r="M114">
        <f>INT('Base Pedidito'!A154)</f>
        <v>45723</v>
      </c>
    </row>
    <row r="115" spans="13:13" x14ac:dyDescent="0.25">
      <c r="M115">
        <f>INT('Base Pedidito'!A155)</f>
        <v>45722</v>
      </c>
    </row>
    <row r="116" spans="13:13" x14ac:dyDescent="0.25">
      <c r="M116">
        <f>INT('Base Pedidito'!A156)</f>
        <v>45722</v>
      </c>
    </row>
    <row r="117" spans="13:13" x14ac:dyDescent="0.25">
      <c r="M117">
        <f>INT('Base Pedidito'!A157)</f>
        <v>45722</v>
      </c>
    </row>
    <row r="118" spans="13:13" x14ac:dyDescent="0.25">
      <c r="M118">
        <f>INT('Base Pedidito'!A158)</f>
        <v>45722</v>
      </c>
    </row>
    <row r="119" spans="13:13" x14ac:dyDescent="0.25">
      <c r="M119">
        <f>INT('Base Pedidito'!A159)</f>
        <v>45722</v>
      </c>
    </row>
    <row r="120" spans="13:13" x14ac:dyDescent="0.25">
      <c r="M120">
        <f>INT('Base Pedidito'!A160)</f>
        <v>45722</v>
      </c>
    </row>
    <row r="121" spans="13:13" x14ac:dyDescent="0.25">
      <c r="M121">
        <f>INT('Base Pedidito'!A161)</f>
        <v>45722</v>
      </c>
    </row>
    <row r="122" spans="13:13" x14ac:dyDescent="0.25">
      <c r="M122">
        <f>INT('Base Pedidito'!A162)</f>
        <v>45722</v>
      </c>
    </row>
    <row r="123" spans="13:13" x14ac:dyDescent="0.25">
      <c r="M123">
        <f>INT('Base Pedidito'!A163)</f>
        <v>45722</v>
      </c>
    </row>
    <row r="124" spans="13:13" x14ac:dyDescent="0.25">
      <c r="M124">
        <f>INT('Base Pedidito'!A164)</f>
        <v>45722</v>
      </c>
    </row>
    <row r="125" spans="13:13" x14ac:dyDescent="0.25">
      <c r="M125">
        <f>INT('Base Pedidito'!A165)</f>
        <v>45780</v>
      </c>
    </row>
    <row r="126" spans="13:13" x14ac:dyDescent="0.25">
      <c r="M126">
        <f>INT('Base Pedidito'!A166)</f>
        <v>45780</v>
      </c>
    </row>
    <row r="127" spans="13:13" x14ac:dyDescent="0.25">
      <c r="M127">
        <f>INT('Base Pedidito'!A167)</f>
        <v>45780</v>
      </c>
    </row>
    <row r="128" spans="13:13" x14ac:dyDescent="0.25">
      <c r="M128">
        <f>INT('Base Pedidito'!A168)</f>
        <v>45780</v>
      </c>
    </row>
    <row r="129" spans="13:13" x14ac:dyDescent="0.25">
      <c r="M129">
        <f>INT('Base Pedidito'!A169)</f>
        <v>45780</v>
      </c>
    </row>
    <row r="130" spans="13:13" x14ac:dyDescent="0.25">
      <c r="M130">
        <f>INT('Base Pedidito'!A170)</f>
        <v>45780</v>
      </c>
    </row>
    <row r="131" spans="13:13" x14ac:dyDescent="0.25">
      <c r="M131">
        <f>INT('Base Pedidito'!A171)</f>
        <v>45720</v>
      </c>
    </row>
    <row r="132" spans="13:13" x14ac:dyDescent="0.25">
      <c r="M132">
        <f>INT('Base Pedidito'!A172)</f>
        <v>45720</v>
      </c>
    </row>
    <row r="133" spans="13:13" x14ac:dyDescent="0.25">
      <c r="M133">
        <f>INT('Base Pedidito'!A173)</f>
        <v>45720</v>
      </c>
    </row>
    <row r="134" spans="13:13" x14ac:dyDescent="0.25">
      <c r="M134">
        <f>INT('Base Pedidito'!A174)</f>
        <v>45720</v>
      </c>
    </row>
    <row r="135" spans="13:13" x14ac:dyDescent="0.25">
      <c r="M135">
        <f>INT('Base Pedidito'!A175)</f>
        <v>45720</v>
      </c>
    </row>
    <row r="136" spans="13:13" x14ac:dyDescent="0.25">
      <c r="M136">
        <f>INT('Base Pedidito'!A176)</f>
        <v>45720</v>
      </c>
    </row>
    <row r="137" spans="13:13" x14ac:dyDescent="0.25">
      <c r="M137">
        <f>INT('Base Pedidito'!A177)</f>
        <v>45720</v>
      </c>
    </row>
    <row r="138" spans="13:13" x14ac:dyDescent="0.25">
      <c r="M138">
        <f>INT('Base Pedidito'!A178)</f>
        <v>45720</v>
      </c>
    </row>
    <row r="139" spans="13:13" x14ac:dyDescent="0.25">
      <c r="M139">
        <f>INT('Base Pedidito'!A179)</f>
        <v>45719</v>
      </c>
    </row>
    <row r="140" spans="13:13" x14ac:dyDescent="0.25">
      <c r="M140">
        <f>INT('Base Pedidito'!A180)</f>
        <v>45719</v>
      </c>
    </row>
    <row r="141" spans="13:13" x14ac:dyDescent="0.25">
      <c r="M141">
        <f>INT('Base Pedidito'!A181)</f>
        <v>45719</v>
      </c>
    </row>
    <row r="142" spans="13:13" x14ac:dyDescent="0.25">
      <c r="M142">
        <f>INT('Base Pedidito'!A182)</f>
        <v>45719</v>
      </c>
    </row>
    <row r="143" spans="13:13" x14ac:dyDescent="0.25">
      <c r="M143">
        <f>INT('Base Pedidito'!A183)</f>
        <v>45719</v>
      </c>
    </row>
    <row r="144" spans="13:13" x14ac:dyDescent="0.25">
      <c r="M144">
        <f>INT('Base Pedidito'!A184)</f>
        <v>45716</v>
      </c>
    </row>
    <row r="145" spans="13:13" x14ac:dyDescent="0.25">
      <c r="M145">
        <f>INT('Base Pedidito'!A185)</f>
        <v>45716</v>
      </c>
    </row>
    <row r="146" spans="13:13" x14ac:dyDescent="0.25">
      <c r="M146">
        <f>INT('Base Pedidito'!A186)</f>
        <v>45716</v>
      </c>
    </row>
    <row r="147" spans="13:13" x14ac:dyDescent="0.25">
      <c r="M147">
        <f>INT('Base Pedidito'!A187)</f>
        <v>45716</v>
      </c>
    </row>
    <row r="148" spans="13:13" x14ac:dyDescent="0.25">
      <c r="M148">
        <f>INT('Base Pedidito'!A188)</f>
        <v>45716</v>
      </c>
    </row>
    <row r="149" spans="13:13" x14ac:dyDescent="0.25">
      <c r="M149">
        <f>INT('Base Pedidito'!A189)</f>
        <v>45715</v>
      </c>
    </row>
    <row r="150" spans="13:13" x14ac:dyDescent="0.25">
      <c r="M150">
        <f>INT('Base Pedidito'!A190)</f>
        <v>45715</v>
      </c>
    </row>
    <row r="151" spans="13:13" x14ac:dyDescent="0.25">
      <c r="M151">
        <f>INT('Base Pedidito'!A191)</f>
        <v>45715</v>
      </c>
    </row>
    <row r="152" spans="13:13" x14ac:dyDescent="0.25">
      <c r="M152">
        <f>INT('Base Pedidito'!A192)</f>
        <v>45715</v>
      </c>
    </row>
    <row r="153" spans="13:13" x14ac:dyDescent="0.25">
      <c r="M153">
        <f>INT('Base Pedidito'!A193)</f>
        <v>45715</v>
      </c>
    </row>
    <row r="154" spans="13:13" x14ac:dyDescent="0.25">
      <c r="M154">
        <f>INT('Base Pedidito'!A194)</f>
        <v>45714</v>
      </c>
    </row>
    <row r="155" spans="13:13" x14ac:dyDescent="0.25">
      <c r="M155">
        <f>INT('Base Pedidito'!A195)</f>
        <v>45714</v>
      </c>
    </row>
    <row r="156" spans="13:13" x14ac:dyDescent="0.25">
      <c r="M156">
        <f>INT('Base Pedidito'!A196)</f>
        <v>45714</v>
      </c>
    </row>
    <row r="157" spans="13:13" x14ac:dyDescent="0.25">
      <c r="M157">
        <f>INT('Base Pedidito'!A197)</f>
        <v>45714</v>
      </c>
    </row>
    <row r="158" spans="13:13" x14ac:dyDescent="0.25">
      <c r="M158">
        <f>INT('Base Pedidito'!A198)</f>
        <v>45714</v>
      </c>
    </row>
    <row r="159" spans="13:13" x14ac:dyDescent="0.25">
      <c r="M159">
        <f>INT('Base Pedidito'!A199)</f>
        <v>45714</v>
      </c>
    </row>
    <row r="160" spans="13:13" x14ac:dyDescent="0.25">
      <c r="M160">
        <f>INT('Base Pedidito'!A200)</f>
        <v>45714</v>
      </c>
    </row>
    <row r="161" spans="13:13" x14ac:dyDescent="0.25">
      <c r="M161">
        <f>INT('Base Pedidito'!A201)</f>
        <v>45714</v>
      </c>
    </row>
    <row r="162" spans="13:13" x14ac:dyDescent="0.25">
      <c r="M162">
        <f>INT('Base Pedidito'!A202)</f>
        <v>45713</v>
      </c>
    </row>
    <row r="163" spans="13:13" x14ac:dyDescent="0.25">
      <c r="M163">
        <f>INT('Base Pedidito'!A203)</f>
        <v>45713</v>
      </c>
    </row>
    <row r="164" spans="13:13" x14ac:dyDescent="0.25">
      <c r="M164">
        <f>INT('Base Pedidito'!A204)</f>
        <v>45713</v>
      </c>
    </row>
    <row r="165" spans="13:13" x14ac:dyDescent="0.25">
      <c r="M165">
        <f>INT('Base Pedidito'!A205)</f>
        <v>45713</v>
      </c>
    </row>
    <row r="166" spans="13:13" x14ac:dyDescent="0.25">
      <c r="M166">
        <f>INT('Base Pedidito'!A206)</f>
        <v>45712</v>
      </c>
    </row>
    <row r="167" spans="13:13" x14ac:dyDescent="0.25">
      <c r="M167">
        <f>INT('Base Pedidito'!A207)</f>
        <v>45712</v>
      </c>
    </row>
    <row r="168" spans="13:13" x14ac:dyDescent="0.25">
      <c r="M168">
        <f>INT('Base Pedidito'!A208)</f>
        <v>45712</v>
      </c>
    </row>
    <row r="169" spans="13:13" x14ac:dyDescent="0.25">
      <c r="M169">
        <f>INT('Base Pedidito'!A209)</f>
        <v>45712</v>
      </c>
    </row>
    <row r="170" spans="13:13" x14ac:dyDescent="0.25">
      <c r="M170">
        <f>INT('Base Pedidito'!A210)</f>
        <v>45712</v>
      </c>
    </row>
    <row r="171" spans="13:13" x14ac:dyDescent="0.25">
      <c r="M171">
        <f>INT('Base Pedidito'!A211)</f>
        <v>45712</v>
      </c>
    </row>
    <row r="172" spans="13:13" x14ac:dyDescent="0.25">
      <c r="M172">
        <f>INT('Base Pedidito'!A212)</f>
        <v>45712</v>
      </c>
    </row>
    <row r="173" spans="13:13" x14ac:dyDescent="0.25">
      <c r="M173">
        <f>INT('Base Pedidito'!A213)</f>
        <v>45710</v>
      </c>
    </row>
    <row r="174" spans="13:13" x14ac:dyDescent="0.25">
      <c r="M174">
        <f>INT('Base Pedidito'!A214)</f>
        <v>45710</v>
      </c>
    </row>
    <row r="175" spans="13:13" x14ac:dyDescent="0.25">
      <c r="M175">
        <f>INT('Base Pedidito'!A215)</f>
        <v>45710</v>
      </c>
    </row>
    <row r="176" spans="13:13" x14ac:dyDescent="0.25">
      <c r="M176">
        <f>INT('Base Pedidito'!A216)</f>
        <v>45710</v>
      </c>
    </row>
    <row r="177" spans="13:13" x14ac:dyDescent="0.25">
      <c r="M177">
        <f>INT('Base Pedidito'!A217)</f>
        <v>45710</v>
      </c>
    </row>
    <row r="178" spans="13:13" x14ac:dyDescent="0.25">
      <c r="M178">
        <f>INT('Base Pedidito'!A218)</f>
        <v>45710</v>
      </c>
    </row>
    <row r="179" spans="13:13" x14ac:dyDescent="0.25">
      <c r="M179">
        <f>INT('Base Pedidito'!A219)</f>
        <v>45710</v>
      </c>
    </row>
    <row r="180" spans="13:13" x14ac:dyDescent="0.25">
      <c r="M180">
        <f>INT('Base Pedidito'!A220)</f>
        <v>45710</v>
      </c>
    </row>
    <row r="181" spans="13:13" x14ac:dyDescent="0.25">
      <c r="M181">
        <f>INT('Base Pedidito'!A221)</f>
        <v>45709</v>
      </c>
    </row>
    <row r="182" spans="13:13" x14ac:dyDescent="0.25">
      <c r="M182">
        <f>INT('Base Pedidito'!A222)</f>
        <v>45709</v>
      </c>
    </row>
    <row r="183" spans="13:13" x14ac:dyDescent="0.25">
      <c r="M183">
        <f>INT('Base Pedidito'!A223)</f>
        <v>45709</v>
      </c>
    </row>
    <row r="184" spans="13:13" x14ac:dyDescent="0.25">
      <c r="M184">
        <f>INT('Base Pedidito'!A224)</f>
        <v>45709</v>
      </c>
    </row>
    <row r="185" spans="13:13" x14ac:dyDescent="0.25">
      <c r="M185">
        <f>INT('Base Pedidito'!A225)</f>
        <v>45709</v>
      </c>
    </row>
    <row r="186" spans="13:13" x14ac:dyDescent="0.25">
      <c r="M186">
        <f>INT('Base Pedidito'!A226)</f>
        <v>45709</v>
      </c>
    </row>
    <row r="187" spans="13:13" x14ac:dyDescent="0.25">
      <c r="M187">
        <f>INT('Base Pedidito'!A227)</f>
        <v>45708</v>
      </c>
    </row>
    <row r="188" spans="13:13" x14ac:dyDescent="0.25">
      <c r="M188">
        <f>INT('Base Pedidito'!A228)</f>
        <v>45708</v>
      </c>
    </row>
    <row r="189" spans="13:13" x14ac:dyDescent="0.25">
      <c r="M189">
        <f>INT('Base Pedidito'!A229)</f>
        <v>45708</v>
      </c>
    </row>
    <row r="190" spans="13:13" x14ac:dyDescent="0.25">
      <c r="M190">
        <f>INT('Base Pedidito'!A230)</f>
        <v>45708</v>
      </c>
    </row>
    <row r="191" spans="13:13" x14ac:dyDescent="0.25">
      <c r="M191">
        <f>INT('Base Pedidito'!A231)</f>
        <v>45708</v>
      </c>
    </row>
    <row r="192" spans="13:13" x14ac:dyDescent="0.25">
      <c r="M192">
        <f>INT('Base Pedidito'!A232)</f>
        <v>45707</v>
      </c>
    </row>
    <row r="193" spans="13:13" x14ac:dyDescent="0.25">
      <c r="M193">
        <f>INT('Base Pedidito'!A233)</f>
        <v>45707</v>
      </c>
    </row>
    <row r="194" spans="13:13" x14ac:dyDescent="0.25">
      <c r="M194">
        <f>INT('Base Pedidito'!A234)</f>
        <v>45707</v>
      </c>
    </row>
    <row r="195" spans="13:13" x14ac:dyDescent="0.25">
      <c r="M195">
        <f>INT('Base Pedidito'!A235)</f>
        <v>45707</v>
      </c>
    </row>
    <row r="196" spans="13:13" x14ac:dyDescent="0.25">
      <c r="M196">
        <f>INT('Base Pedidito'!A236)</f>
        <v>45706</v>
      </c>
    </row>
    <row r="197" spans="13:13" x14ac:dyDescent="0.25">
      <c r="M197">
        <f>INT('Base Pedidito'!A237)</f>
        <v>45706</v>
      </c>
    </row>
    <row r="198" spans="13:13" x14ac:dyDescent="0.25">
      <c r="M198">
        <f>INT('Base Pedidito'!A238)</f>
        <v>45706</v>
      </c>
    </row>
    <row r="199" spans="13:13" x14ac:dyDescent="0.25">
      <c r="M199">
        <f>INT('Base Pedidito'!A239)</f>
        <v>45706</v>
      </c>
    </row>
    <row r="200" spans="13:13" x14ac:dyDescent="0.25">
      <c r="M200">
        <f>INT('Base Pedidito'!A240)</f>
        <v>45706</v>
      </c>
    </row>
    <row r="201" spans="13:13" x14ac:dyDescent="0.25">
      <c r="M201">
        <f>INT('Base Pedidito'!A241)</f>
        <v>45706</v>
      </c>
    </row>
    <row r="202" spans="13:13" x14ac:dyDescent="0.25">
      <c r="M202">
        <f>INT('Base Pedidito'!A242)</f>
        <v>45706</v>
      </c>
    </row>
    <row r="203" spans="13:13" x14ac:dyDescent="0.25">
      <c r="M203">
        <f>INT('Base Pedidito'!A243)</f>
        <v>45706</v>
      </c>
    </row>
    <row r="204" spans="13:13" x14ac:dyDescent="0.25">
      <c r="M204">
        <f>INT('Base Pedidito'!A244)</f>
        <v>45706</v>
      </c>
    </row>
    <row r="205" spans="13:13" x14ac:dyDescent="0.25">
      <c r="M205">
        <f>INT('Base Pedidito'!A245)</f>
        <v>45706</v>
      </c>
    </row>
    <row r="206" spans="13:13" x14ac:dyDescent="0.25">
      <c r="M206">
        <f>INT('Base Pedidito'!A246)</f>
        <v>45706</v>
      </c>
    </row>
    <row r="207" spans="13:13" x14ac:dyDescent="0.25">
      <c r="M207">
        <f>INT('Base Pedidito'!A247)</f>
        <v>45705</v>
      </c>
    </row>
    <row r="208" spans="13:13" x14ac:dyDescent="0.25">
      <c r="M208">
        <f>INT('Base Pedidito'!A248)</f>
        <v>45705</v>
      </c>
    </row>
    <row r="209" spans="13:13" x14ac:dyDescent="0.25">
      <c r="M209">
        <f>INT('Base Pedidito'!A249)</f>
        <v>45705</v>
      </c>
    </row>
    <row r="210" spans="13:13" x14ac:dyDescent="0.25">
      <c r="M210">
        <f>INT('Base Pedidito'!A250)</f>
        <v>45705</v>
      </c>
    </row>
    <row r="211" spans="13:13" x14ac:dyDescent="0.25">
      <c r="M211">
        <f>INT('Base Pedidito'!A251)</f>
        <v>45705</v>
      </c>
    </row>
    <row r="212" spans="13:13" x14ac:dyDescent="0.25">
      <c r="M212">
        <f>INT('Base Pedidito'!A252)</f>
        <v>45705</v>
      </c>
    </row>
    <row r="213" spans="13:13" x14ac:dyDescent="0.25">
      <c r="M213">
        <f>INT('Base Pedidito'!A253)</f>
        <v>45705</v>
      </c>
    </row>
    <row r="214" spans="13:13" x14ac:dyDescent="0.25">
      <c r="M214">
        <f>INT('Base Pedidito'!A254)</f>
        <v>45705</v>
      </c>
    </row>
    <row r="215" spans="13:13" x14ac:dyDescent="0.25">
      <c r="M215">
        <f>INT('Base Pedidito'!A255)</f>
        <v>45705</v>
      </c>
    </row>
    <row r="216" spans="13:13" x14ac:dyDescent="0.25">
      <c r="M216">
        <f>INT('Base Pedidito'!A256)</f>
        <v>45705</v>
      </c>
    </row>
    <row r="217" spans="13:13" x14ac:dyDescent="0.25">
      <c r="M217">
        <f>INT('Base Pedidito'!A257)</f>
        <v>45702</v>
      </c>
    </row>
    <row r="218" spans="13:13" x14ac:dyDescent="0.25">
      <c r="M218">
        <f>INT('Base Pedidito'!A258)</f>
        <v>45701</v>
      </c>
    </row>
    <row r="219" spans="13:13" x14ac:dyDescent="0.25">
      <c r="M219">
        <f>INT('Base Pedidito'!A259)</f>
        <v>45701</v>
      </c>
    </row>
    <row r="220" spans="13:13" x14ac:dyDescent="0.25">
      <c r="M220">
        <f>INT('Base Pedidito'!A260)</f>
        <v>45701</v>
      </c>
    </row>
    <row r="221" spans="13:13" x14ac:dyDescent="0.25">
      <c r="M221">
        <f>INT('Base Pedidito'!A261)</f>
        <v>45701</v>
      </c>
    </row>
    <row r="222" spans="13:13" x14ac:dyDescent="0.25">
      <c r="M222">
        <f>INT('Base Pedidito'!A262)</f>
        <v>45701</v>
      </c>
    </row>
    <row r="223" spans="13:13" x14ac:dyDescent="0.25">
      <c r="M223">
        <f>INT('Base Pedidito'!A263)</f>
        <v>45700</v>
      </c>
    </row>
    <row r="224" spans="13:13" x14ac:dyDescent="0.25">
      <c r="M224">
        <f>INT('Base Pedidito'!A264)</f>
        <v>45700</v>
      </c>
    </row>
    <row r="225" spans="13:13" x14ac:dyDescent="0.25">
      <c r="M225">
        <f>INT('Base Pedidito'!A265)</f>
        <v>45700</v>
      </c>
    </row>
    <row r="226" spans="13:13" x14ac:dyDescent="0.25">
      <c r="M226">
        <f>INT('Base Pedidito'!A266)</f>
        <v>45700</v>
      </c>
    </row>
    <row r="227" spans="13:13" x14ac:dyDescent="0.25">
      <c r="M227">
        <f>INT('Base Pedidito'!A267)</f>
        <v>45699</v>
      </c>
    </row>
    <row r="228" spans="13:13" x14ac:dyDescent="0.25">
      <c r="M228">
        <f>INT('Base Pedidito'!A268)</f>
        <v>45699</v>
      </c>
    </row>
    <row r="229" spans="13:13" x14ac:dyDescent="0.25">
      <c r="M229">
        <f>INT('Base Pedidito'!A269)</f>
        <v>45699</v>
      </c>
    </row>
    <row r="230" spans="13:13" x14ac:dyDescent="0.25">
      <c r="M230">
        <f>INT('Base Pedidito'!A270)</f>
        <v>45699</v>
      </c>
    </row>
    <row r="231" spans="13:13" x14ac:dyDescent="0.25">
      <c r="M231">
        <f>INT('Base Pedidito'!A271)</f>
        <v>45698</v>
      </c>
    </row>
    <row r="232" spans="13:13" x14ac:dyDescent="0.25">
      <c r="M232">
        <f>INT('Base Pedidito'!A272)</f>
        <v>45698</v>
      </c>
    </row>
    <row r="233" spans="13:13" x14ac:dyDescent="0.25">
      <c r="M233">
        <f>INT('Base Pedidito'!A273)</f>
        <v>45698</v>
      </c>
    </row>
    <row r="234" spans="13:13" x14ac:dyDescent="0.25">
      <c r="M234">
        <f>INT('Base Pedidito'!A274)</f>
        <v>45698</v>
      </c>
    </row>
    <row r="235" spans="13:13" x14ac:dyDescent="0.25">
      <c r="M235">
        <f>INT('Base Pedidito'!A275)</f>
        <v>45698</v>
      </c>
    </row>
    <row r="236" spans="13:13" x14ac:dyDescent="0.25">
      <c r="M236">
        <f>INT('Base Pedidito'!A276)</f>
        <v>45698</v>
      </c>
    </row>
    <row r="237" spans="13:13" x14ac:dyDescent="0.25">
      <c r="M237">
        <f>INT('Base Pedidito'!A277)</f>
        <v>45698</v>
      </c>
    </row>
    <row r="238" spans="13:13" x14ac:dyDescent="0.25">
      <c r="M238">
        <f>INT('Base Pedidito'!A278)</f>
        <v>45695</v>
      </c>
    </row>
    <row r="239" spans="13:13" x14ac:dyDescent="0.25">
      <c r="M239">
        <f>INT('Base Pedidito'!A279)</f>
        <v>45695</v>
      </c>
    </row>
    <row r="240" spans="13:13" x14ac:dyDescent="0.25">
      <c r="M240">
        <f>INT('Base Pedidito'!A280)</f>
        <v>45695</v>
      </c>
    </row>
    <row r="241" spans="13:13" x14ac:dyDescent="0.25">
      <c r="M241">
        <f>INT('Base Pedidito'!A281)</f>
        <v>45694</v>
      </c>
    </row>
    <row r="242" spans="13:13" x14ac:dyDescent="0.25">
      <c r="M242">
        <f>INT('Base Pedidito'!A282)</f>
        <v>45694</v>
      </c>
    </row>
    <row r="243" spans="13:13" x14ac:dyDescent="0.25">
      <c r="M243">
        <f>INT('Base Pedidito'!A283)</f>
        <v>45694</v>
      </c>
    </row>
    <row r="244" spans="13:13" x14ac:dyDescent="0.25">
      <c r="M244">
        <f>INT('Base Pedidito'!A284)</f>
        <v>45694</v>
      </c>
    </row>
    <row r="245" spans="13:13" x14ac:dyDescent="0.25">
      <c r="M245">
        <f>INT('Base Pedidito'!A285)</f>
        <v>45694</v>
      </c>
    </row>
    <row r="246" spans="13:13" x14ac:dyDescent="0.25">
      <c r="M246">
        <f>INT('Base Pedidito'!A286)</f>
        <v>45694</v>
      </c>
    </row>
    <row r="247" spans="13:13" x14ac:dyDescent="0.25">
      <c r="M247">
        <f>INT('Base Pedidito'!A287)</f>
        <v>45693</v>
      </c>
    </row>
    <row r="248" spans="13:13" x14ac:dyDescent="0.25">
      <c r="M248">
        <f>INT('Base Pedidito'!A288)</f>
        <v>45693</v>
      </c>
    </row>
    <row r="249" spans="13:13" x14ac:dyDescent="0.25">
      <c r="M249">
        <f>INT('Base Pedidito'!A289)</f>
        <v>45692</v>
      </c>
    </row>
    <row r="250" spans="13:13" x14ac:dyDescent="0.25">
      <c r="M250">
        <f>INT('Base Pedidito'!A290)</f>
        <v>45692</v>
      </c>
    </row>
    <row r="251" spans="13:13" x14ac:dyDescent="0.25">
      <c r="M251">
        <f>INT('Base Pedidito'!A291)</f>
        <v>45691</v>
      </c>
    </row>
    <row r="252" spans="13:13" x14ac:dyDescent="0.25">
      <c r="M252">
        <f>INT('Base Pedidito'!A292)</f>
        <v>45691</v>
      </c>
    </row>
    <row r="253" spans="13:13" x14ac:dyDescent="0.25">
      <c r="M253">
        <f>INT('Base Pedidito'!A293)</f>
        <v>45691</v>
      </c>
    </row>
    <row r="254" spans="13:13" x14ac:dyDescent="0.25">
      <c r="M254">
        <f>INT('Base Pedidito'!A294)</f>
        <v>45688</v>
      </c>
    </row>
    <row r="255" spans="13:13" x14ac:dyDescent="0.25">
      <c r="M255">
        <f>INT('Base Pedidito'!A295)</f>
        <v>45688</v>
      </c>
    </row>
    <row r="256" spans="13:13" x14ac:dyDescent="0.25">
      <c r="M256">
        <f>INT('Base Pedidito'!A296)</f>
        <v>45688</v>
      </c>
    </row>
    <row r="257" spans="13:13" x14ac:dyDescent="0.25">
      <c r="M257">
        <f>INT('Base Pedidito'!A297)</f>
        <v>45688</v>
      </c>
    </row>
    <row r="258" spans="13:13" x14ac:dyDescent="0.25">
      <c r="M258">
        <f>INT('Base Pedidito'!A298)</f>
        <v>45688</v>
      </c>
    </row>
    <row r="259" spans="13:13" x14ac:dyDescent="0.25">
      <c r="M259">
        <f>INT('Base Pedidito'!A299)</f>
        <v>45687</v>
      </c>
    </row>
    <row r="260" spans="13:13" x14ac:dyDescent="0.25">
      <c r="M260">
        <f>INT('Base Pedidito'!A300)</f>
        <v>45687</v>
      </c>
    </row>
    <row r="261" spans="13:13" x14ac:dyDescent="0.25">
      <c r="M261">
        <f>INT('Base Pedidito'!A301)</f>
        <v>45687</v>
      </c>
    </row>
    <row r="262" spans="13:13" x14ac:dyDescent="0.25">
      <c r="M262">
        <f>INT('Base Pedidito'!A302)</f>
        <v>45687</v>
      </c>
    </row>
    <row r="263" spans="13:13" x14ac:dyDescent="0.25">
      <c r="M263">
        <f>INT('Base Pedidito'!A303)</f>
        <v>45687</v>
      </c>
    </row>
    <row r="264" spans="13:13" x14ac:dyDescent="0.25">
      <c r="M264">
        <f>INT('Base Pedidito'!A304)</f>
        <v>45687</v>
      </c>
    </row>
    <row r="265" spans="13:13" x14ac:dyDescent="0.25">
      <c r="M265">
        <f>INT('Base Pedidito'!A305)</f>
        <v>45687</v>
      </c>
    </row>
    <row r="266" spans="13:13" x14ac:dyDescent="0.25">
      <c r="M266">
        <f>INT('Base Pedidito'!A306)</f>
        <v>45687</v>
      </c>
    </row>
    <row r="267" spans="13:13" x14ac:dyDescent="0.25">
      <c r="M267">
        <f>INT('Base Pedidito'!A307)</f>
        <v>45686</v>
      </c>
    </row>
    <row r="268" spans="13:13" x14ac:dyDescent="0.25">
      <c r="M268">
        <f>INT('Base Pedidito'!A308)</f>
        <v>45686</v>
      </c>
    </row>
    <row r="269" spans="13:13" x14ac:dyDescent="0.25">
      <c r="M269">
        <f>INT('Base Pedidito'!A309)</f>
        <v>45686</v>
      </c>
    </row>
    <row r="270" spans="13:13" x14ac:dyDescent="0.25">
      <c r="M270">
        <f>INT('Base Pedidito'!A310)</f>
        <v>45686</v>
      </c>
    </row>
    <row r="271" spans="13:13" x14ac:dyDescent="0.25">
      <c r="M271">
        <f>INT('Base Pedidito'!A311)</f>
        <v>45685</v>
      </c>
    </row>
    <row r="272" spans="13:13" x14ac:dyDescent="0.25">
      <c r="M272">
        <f>INT('Base Pedidito'!A312)</f>
        <v>45685</v>
      </c>
    </row>
    <row r="273" spans="13:13" x14ac:dyDescent="0.25">
      <c r="M273">
        <f>INT('Base Pedidito'!A313)</f>
        <v>45685</v>
      </c>
    </row>
    <row r="274" spans="13:13" x14ac:dyDescent="0.25">
      <c r="M274">
        <f>INT('Base Pedidito'!A314)</f>
        <v>45685</v>
      </c>
    </row>
    <row r="275" spans="13:13" x14ac:dyDescent="0.25">
      <c r="M275">
        <f>INT('Base Pedidito'!A315)</f>
        <v>45685</v>
      </c>
    </row>
    <row r="276" spans="13:13" x14ac:dyDescent="0.25">
      <c r="M276">
        <f>INT('Base Pedidito'!A316)</f>
        <v>45685</v>
      </c>
    </row>
    <row r="277" spans="13:13" x14ac:dyDescent="0.25">
      <c r="M277">
        <f>INT('Base Pedidito'!A317)</f>
        <v>45681</v>
      </c>
    </row>
    <row r="278" spans="13:13" x14ac:dyDescent="0.25">
      <c r="M278">
        <f>INT('Base Pedidito'!A318)</f>
        <v>45839</v>
      </c>
    </row>
    <row r="279" spans="13:13" x14ac:dyDescent="0.25">
      <c r="M279">
        <f>INT('Base Pedidito'!A319)</f>
        <v>45839</v>
      </c>
    </row>
    <row r="280" spans="13:13" x14ac:dyDescent="0.25">
      <c r="M280">
        <f>INT('Base Pedidito'!A320)</f>
        <v>45839</v>
      </c>
    </row>
    <row r="281" spans="13:13" x14ac:dyDescent="0.25">
      <c r="M281">
        <f>INT('Base Pedidito'!A321)</f>
        <v>45664</v>
      </c>
    </row>
    <row r="282" spans="13:13" x14ac:dyDescent="0.25">
      <c r="M282">
        <f>INT('Base Pedidito'!A322)</f>
        <v>45809</v>
      </c>
    </row>
    <row r="283" spans="13:13" x14ac:dyDescent="0.25">
      <c r="M283">
        <f>INT('Base Pedidito'!A323)</f>
        <v>0</v>
      </c>
    </row>
    <row r="284" spans="13:13" x14ac:dyDescent="0.25">
      <c r="M284">
        <f>INT('Base Pedidito'!A324)</f>
        <v>0</v>
      </c>
    </row>
    <row r="285" spans="13:13" x14ac:dyDescent="0.25">
      <c r="M285">
        <f>INT('Base Pedidito'!A325)</f>
        <v>0</v>
      </c>
    </row>
    <row r="286" spans="13:13" x14ac:dyDescent="0.25">
      <c r="M286">
        <f>INT('Base Pedidito'!A326)</f>
        <v>0</v>
      </c>
    </row>
    <row r="287" spans="13:13" x14ac:dyDescent="0.25">
      <c r="M287">
        <f>INT('Base Pedidito'!A327)</f>
        <v>0</v>
      </c>
    </row>
    <row r="288" spans="13:13" x14ac:dyDescent="0.25">
      <c r="M288">
        <f>INT('Base Pedidito'!A328)</f>
        <v>0</v>
      </c>
    </row>
    <row r="289" spans="13:13" x14ac:dyDescent="0.25">
      <c r="M289">
        <f>INT('Base Pedidito'!A329)</f>
        <v>0</v>
      </c>
    </row>
    <row r="290" spans="13:13" x14ac:dyDescent="0.25">
      <c r="M290">
        <f>INT('Base Pedidito'!A330)</f>
        <v>0</v>
      </c>
    </row>
    <row r="291" spans="13:13" x14ac:dyDescent="0.25">
      <c r="M291">
        <f>INT('Base Pedidito'!A331)</f>
        <v>0</v>
      </c>
    </row>
    <row r="292" spans="13:13" x14ac:dyDescent="0.25">
      <c r="M292">
        <f>INT('Base Pedidito'!A332)</f>
        <v>0</v>
      </c>
    </row>
    <row r="293" spans="13:13" x14ac:dyDescent="0.25">
      <c r="M293">
        <f>INT('Base Pedidito'!A357)</f>
        <v>0</v>
      </c>
    </row>
    <row r="294" spans="13:13" x14ac:dyDescent="0.25">
      <c r="M294">
        <f>INT('Base Pedidito'!A358)</f>
        <v>0</v>
      </c>
    </row>
    <row r="295" spans="13:13" x14ac:dyDescent="0.25">
      <c r="M295">
        <f>INT('Base Pedidito'!A359)</f>
        <v>0</v>
      </c>
    </row>
    <row r="296" spans="13:13" x14ac:dyDescent="0.25">
      <c r="M296">
        <f>INT('Base Pedidito'!A360)</f>
        <v>0</v>
      </c>
    </row>
    <row r="297" spans="13:13" x14ac:dyDescent="0.25">
      <c r="M297">
        <f>INT('Base Pedidito'!A361)</f>
        <v>0</v>
      </c>
    </row>
    <row r="298" spans="13:13" x14ac:dyDescent="0.25">
      <c r="M298">
        <f>INT('Base Pedidito'!A362)</f>
        <v>0</v>
      </c>
    </row>
    <row r="299" spans="13:13" x14ac:dyDescent="0.25">
      <c r="M299">
        <f>INT('Base Pedidito'!A363)</f>
        <v>0</v>
      </c>
    </row>
    <row r="300" spans="13:13" x14ac:dyDescent="0.25">
      <c r="M300">
        <f>INT('Base Pedidito'!A364)</f>
        <v>0</v>
      </c>
    </row>
    <row r="301" spans="13:13" x14ac:dyDescent="0.25">
      <c r="M301">
        <f>INT('Base Pedidito'!A375)</f>
        <v>0</v>
      </c>
    </row>
    <row r="302" spans="13:13" x14ac:dyDescent="0.25">
      <c r="M302">
        <f>INT('Base Pedidito'!A376)</f>
        <v>0</v>
      </c>
    </row>
    <row r="303" spans="13:13" x14ac:dyDescent="0.25">
      <c r="M303">
        <f>INT('Base Pedidito'!A377)</f>
        <v>0</v>
      </c>
    </row>
    <row r="304" spans="13:13" x14ac:dyDescent="0.25">
      <c r="M304">
        <f>INT('Base Pedidito'!A446)</f>
        <v>0</v>
      </c>
    </row>
    <row r="305" spans="13:13" x14ac:dyDescent="0.25">
      <c r="M305">
        <f>INT('Base Pedidito'!A447)</f>
        <v>0</v>
      </c>
    </row>
  </sheetData>
  <phoneticPr fontId="9" type="noConversion"/>
  <conditionalFormatting sqref="A4:H4">
    <cfRule type="colorScale" priority="8">
      <colorScale>
        <cfvo type="min"/>
        <cfvo type="num" val="6"/>
        <cfvo type="max"/>
        <color rgb="FFF8696B"/>
        <color rgb="FFFFEB84"/>
        <color rgb="FF63BE7B"/>
      </colorScale>
    </cfRule>
  </conditionalFormatting>
  <conditionalFormatting sqref="A9:H9">
    <cfRule type="colorScale" priority="6">
      <colorScale>
        <cfvo type="min"/>
        <cfvo type="num" val="6"/>
        <cfvo type="max"/>
        <color rgb="FFF8696B"/>
        <color rgb="FFFFEB84"/>
        <color rgb="FF63BE7B"/>
      </colorScale>
    </cfRule>
    <cfRule type="colorScale" priority="7">
      <colorScale>
        <cfvo type="min"/>
        <cfvo type="percentile" val="50"/>
        <cfvo type="max"/>
        <color rgb="FFF8696B"/>
        <color rgb="FFFFEB84"/>
        <color rgb="FF63BE7B"/>
      </colorScale>
    </cfRule>
  </conditionalFormatting>
  <conditionalFormatting sqref="A14:H14">
    <cfRule type="colorScale" priority="5">
      <colorScale>
        <cfvo type="min"/>
        <cfvo type="num" val="6"/>
        <cfvo type="max"/>
        <color rgb="FFF8696B"/>
        <color rgb="FFFFEB84"/>
        <color rgb="FF63BE7B"/>
      </colorScale>
    </cfRule>
  </conditionalFormatting>
  <conditionalFormatting sqref="A19:H19">
    <cfRule type="colorScale" priority="4">
      <colorScale>
        <cfvo type="min"/>
        <cfvo type="num" val="6"/>
        <cfvo type="max"/>
        <color rgb="FFF8696B"/>
        <color rgb="FFFFEB84"/>
        <color rgb="FF63BE7B"/>
      </colorScale>
    </cfRule>
  </conditionalFormatting>
  <conditionalFormatting sqref="A24:H24">
    <cfRule type="colorScale" priority="3">
      <colorScale>
        <cfvo type="min"/>
        <cfvo type="num" val="7"/>
        <cfvo type="max"/>
        <color rgb="FFF8696B"/>
        <color rgb="FFFFEB84"/>
        <color rgb="FF63BE7B"/>
      </colorScale>
    </cfRule>
  </conditionalFormatting>
  <conditionalFormatting sqref="A29:H29">
    <cfRule type="colorScale" priority="2">
      <colorScale>
        <cfvo type="min"/>
        <cfvo type="num" val="7"/>
        <cfvo type="max"/>
        <color rgb="FFF8696B"/>
        <color rgb="FFFFEB84"/>
        <color rgb="FF63BE7B"/>
      </colorScale>
    </cfRule>
  </conditionalFormatting>
  <dataValidations count="2">
    <dataValidation type="list" allowBlank="1" showInputMessage="1" showErrorMessage="1" sqref="I1" xr:uid="{2EC2711A-AF58-4A31-A32F-E947C8C61780}">
      <formula1>$K$1:$K$12</formula1>
    </dataValidation>
    <dataValidation type="list" allowBlank="1" showInputMessage="1" showErrorMessage="1" sqref="I2" xr:uid="{4B86FABC-BA9D-4838-BD1A-933873014D46}">
      <formula1>$L$1:$L$7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1B8B6-E0B0-4D09-8118-48CE289450A6}">
  <sheetPr codeName="Hoja5"/>
  <dimension ref="B2:Z301"/>
  <sheetViews>
    <sheetView topLeftCell="A16" workbookViewId="0">
      <selection activeCell="Z277" sqref="Z277"/>
    </sheetView>
  </sheetViews>
  <sheetFormatPr baseColWidth="10" defaultRowHeight="15" x14ac:dyDescent="0.25"/>
  <cols>
    <col min="2" max="2" width="12" customWidth="1"/>
    <col min="7" max="8" width="11.42578125" customWidth="1"/>
    <col min="9" max="9" width="13.28515625" customWidth="1"/>
    <col min="10" max="10" width="0.140625" hidden="1" customWidth="1"/>
    <col min="11" max="13" width="11.42578125" hidden="1" customWidth="1"/>
    <col min="14" max="14" width="4" hidden="1" customWidth="1"/>
    <col min="15" max="15" width="4.28515625" hidden="1" customWidth="1"/>
    <col min="16" max="16" width="7" hidden="1" customWidth="1"/>
    <col min="17" max="17" width="0.85546875" hidden="1" customWidth="1"/>
    <col min="18" max="18" width="10.7109375" hidden="1" customWidth="1"/>
    <col min="19" max="19" width="33.42578125" hidden="1" customWidth="1"/>
    <col min="20" max="20" width="23.5703125" customWidth="1"/>
    <col min="26" max="26" width="12" customWidth="1"/>
  </cols>
  <sheetData>
    <row r="2" spans="2:26" x14ac:dyDescent="0.25">
      <c r="B2" s="67" t="s">
        <v>965</v>
      </c>
      <c r="C2" s="67" t="s">
        <v>783</v>
      </c>
      <c r="D2" s="67" t="s">
        <v>332</v>
      </c>
      <c r="E2" s="67" t="s">
        <v>786</v>
      </c>
      <c r="F2" s="67" t="s">
        <v>787</v>
      </c>
      <c r="I2" t="s">
        <v>788</v>
      </c>
      <c r="J2" t="s">
        <v>332</v>
      </c>
      <c r="K2" t="s">
        <v>600</v>
      </c>
      <c r="L2" t="s">
        <v>817</v>
      </c>
      <c r="M2" t="s">
        <v>818</v>
      </c>
      <c r="N2" t="s">
        <v>819</v>
      </c>
      <c r="O2" t="s">
        <v>820</v>
      </c>
      <c r="P2" t="s">
        <v>821</v>
      </c>
      <c r="Q2" t="s">
        <v>822</v>
      </c>
      <c r="R2" t="s">
        <v>823</v>
      </c>
      <c r="S2" t="s">
        <v>824</v>
      </c>
      <c r="T2" t="s">
        <v>825</v>
      </c>
      <c r="U2" t="s">
        <v>786</v>
      </c>
      <c r="V2" t="s">
        <v>787</v>
      </c>
      <c r="W2" t="s">
        <v>829</v>
      </c>
      <c r="Y2" t="s">
        <v>426</v>
      </c>
      <c r="Z2" t="s">
        <v>426</v>
      </c>
    </row>
    <row r="3" spans="2:26" x14ac:dyDescent="0.25">
      <c r="B3" s="67" t="s">
        <v>696</v>
      </c>
      <c r="C3" s="67">
        <f>COUNTIF(Tabla1[Pedido],Productos_frec_tabla[[#This Row],[Productoos]])</f>
        <v>0</v>
      </c>
      <c r="D3" s="67" t="str">
        <f>PROPER(Productos_frec_tabla[[#This Row],[Productoos]])</f>
        <v xml:space="preserve">  Cocas 0</v>
      </c>
      <c r="E3" s="67" t="str">
        <f>PROPER(Productos_frec_tabla[[#This Row],[Productoos]])</f>
        <v xml:space="preserve">  Cocas 0</v>
      </c>
      <c r="F3" s="67">
        <f>COUNTIF(Productos_frec_tabla[Columna1],Productos_frec_tabla[[#This Row],[Columna12]])</f>
        <v>2</v>
      </c>
      <c r="I3" s="65" t="s">
        <v>844</v>
      </c>
      <c r="J3" s="60" t="s">
        <v>789</v>
      </c>
      <c r="K3" s="60"/>
      <c r="L3" s="60"/>
      <c r="M3" s="60"/>
      <c r="N3" s="60"/>
      <c r="O3" s="60"/>
      <c r="P3" s="60"/>
      <c r="Q3" s="60"/>
      <c r="R3" s="60"/>
      <c r="S3" s="60"/>
      <c r="T3" s="71"/>
      <c r="U3" s="71" t="s">
        <v>844</v>
      </c>
      <c r="V3" s="60"/>
      <c r="W3" s="71"/>
      <c r="Y3" t="str" cm="1">
        <f t="array" ref="Y3:Y276">_xlfn.UNIQUE(Productos_frec_tabla[Productoos],FALSE,FALSE)</f>
        <v xml:space="preserve">  cocas 0</v>
      </c>
      <c r="Z3" t="s">
        <v>696</v>
      </c>
    </row>
    <row r="4" spans="2:26" x14ac:dyDescent="0.25">
      <c r="B4" s="70" t="s">
        <v>696</v>
      </c>
      <c r="C4" s="67">
        <f>COUNTIF(Tabla1[Pedido],Productos_frec_tabla[[#This Row],[Productoos]])</f>
        <v>0</v>
      </c>
      <c r="D4" s="67" t="str">
        <f>PROPER(Productos_frec_tabla[[#This Row],[Productoos]])</f>
        <v xml:space="preserve">  Cocas 0</v>
      </c>
      <c r="E4" s="67" t="str">
        <f>PROPER(Productos_frec_tabla[[#This Row],[Productoos]])</f>
        <v xml:space="preserve">  Cocas 0</v>
      </c>
      <c r="F4" s="67">
        <f>COUNTIF(Productos_frec_tabla[Columna1],Productos_frec_tabla[[#This Row],[Columna12]])</f>
        <v>2</v>
      </c>
      <c r="I4" s="65" t="s">
        <v>790</v>
      </c>
      <c r="J4" s="60" t="s">
        <v>791</v>
      </c>
      <c r="K4" s="60" t="s">
        <v>845</v>
      </c>
      <c r="L4" s="60" t="s">
        <v>792</v>
      </c>
      <c r="M4" s="60" t="s">
        <v>793</v>
      </c>
      <c r="N4" s="60" t="s">
        <v>846</v>
      </c>
      <c r="O4" s="60" t="s">
        <v>794</v>
      </c>
      <c r="P4" s="60" t="s">
        <v>795</v>
      </c>
      <c r="Q4" s="60"/>
      <c r="R4" s="60"/>
      <c r="S4" s="60"/>
      <c r="T4" s="71"/>
      <c r="U4" s="66" t="s">
        <v>790</v>
      </c>
      <c r="V4" s="60"/>
      <c r="W4" s="71"/>
      <c r="Y4" t="str">
        <v xml:space="preserve">  dannet</v>
      </c>
      <c r="Z4" t="s">
        <v>703</v>
      </c>
    </row>
    <row r="5" spans="2:26" x14ac:dyDescent="0.25">
      <c r="B5" s="67" t="s">
        <v>703</v>
      </c>
      <c r="C5" s="67">
        <f>COUNTIF(Tabla1[Pedido],Productos_frec_tabla[[#This Row],[Productoos]])</f>
        <v>0</v>
      </c>
      <c r="D5" s="67" t="str">
        <f>PROPER(Productos_frec_tabla[[#This Row],[Productoos]])</f>
        <v xml:space="preserve">  Dannet</v>
      </c>
      <c r="E5" s="67" t="str">
        <f>PROPER(Productos_frec_tabla[[#This Row],[Productoos]])</f>
        <v xml:space="preserve">  Dannet</v>
      </c>
      <c r="F5" s="67">
        <f>COUNTIF(Productos_frec_tabla[Columna1],Productos_frec_tabla[[#This Row],[Columna12]])</f>
        <v>2</v>
      </c>
      <c r="I5" s="65" t="s">
        <v>795</v>
      </c>
      <c r="J5" s="60" t="s">
        <v>458</v>
      </c>
      <c r="K5" s="60" t="s">
        <v>796</v>
      </c>
      <c r="L5" s="60"/>
      <c r="M5" s="60"/>
      <c r="N5" s="60"/>
      <c r="O5" s="60"/>
      <c r="P5" s="60"/>
      <c r="Q5" s="60"/>
      <c r="R5" s="60"/>
      <c r="S5" s="60"/>
      <c r="T5" s="71"/>
      <c r="U5" s="66" t="s">
        <v>795</v>
      </c>
      <c r="V5" s="60"/>
      <c r="W5" s="71"/>
      <c r="Y5" t="str">
        <v xml:space="preserve"> 1 donas espolvoreadas</v>
      </c>
      <c r="Z5" t="s">
        <v>948</v>
      </c>
    </row>
    <row r="6" spans="2:26" x14ac:dyDescent="0.25">
      <c r="B6" s="67" t="s">
        <v>703</v>
      </c>
      <c r="C6" s="67">
        <f>COUNTIF(Tabla1[Pedido],Productos_frec_tabla[[#This Row],[Productoos]])</f>
        <v>0</v>
      </c>
      <c r="D6" s="67" t="str">
        <f>PROPER(Productos_frec_tabla[[#This Row],[Productoos]])</f>
        <v xml:space="preserve">  Dannet</v>
      </c>
      <c r="E6" s="67" t="str">
        <f>PROPER(Productos_frec_tabla[[#This Row],[Productoos]])</f>
        <v xml:space="preserve">  Dannet</v>
      </c>
      <c r="F6" s="67">
        <f>COUNTIF(Productos_frec_tabla[Columna1],Productos_frec_tabla[[#This Row],[Columna12]])</f>
        <v>2</v>
      </c>
      <c r="I6" s="65" t="s">
        <v>797</v>
      </c>
      <c r="J6" s="60" t="s">
        <v>870</v>
      </c>
      <c r="K6" s="60"/>
      <c r="L6" s="60"/>
      <c r="M6" s="60"/>
      <c r="N6" s="60"/>
      <c r="O6" s="60"/>
      <c r="P6" s="60"/>
      <c r="Q6" s="60"/>
      <c r="R6" s="60"/>
      <c r="S6" s="60"/>
      <c r="T6" s="71"/>
      <c r="U6" s="66" t="s">
        <v>797</v>
      </c>
      <c r="V6" s="60"/>
      <c r="W6" s="71"/>
      <c r="Y6" t="str">
        <v xml:space="preserve"> garrafones</v>
      </c>
      <c r="Z6" t="s">
        <v>684</v>
      </c>
    </row>
    <row r="7" spans="2:26" x14ac:dyDescent="0.25">
      <c r="B7" s="68" t="s">
        <v>948</v>
      </c>
      <c r="C7" s="67">
        <f>COUNTIF(Tabla1[Pedido],Productos_frec_tabla[[#This Row],[Productoos]])</f>
        <v>0</v>
      </c>
      <c r="D7" s="67" t="str">
        <f>PROPER(Productos_frec_tabla[[#This Row],[Productoos]])</f>
        <v xml:space="preserve"> 1 Donas Espolvoreadas</v>
      </c>
      <c r="E7" s="67" t="str">
        <f>PROPER(Productos_frec_tabla[[#This Row],[Productoos]])</f>
        <v xml:space="preserve"> 1 Donas Espolvoreadas</v>
      </c>
      <c r="F7" s="67">
        <f>COUNTIF(Productos_frec_tabla[Columna1],Productos_frec_tabla[[#This Row],[Columna12]])</f>
        <v>2</v>
      </c>
      <c r="I7" s="65" t="s">
        <v>798</v>
      </c>
      <c r="J7" s="60" t="s">
        <v>871</v>
      </c>
      <c r="K7" s="60"/>
      <c r="L7" s="60"/>
      <c r="M7" s="60"/>
      <c r="N7" s="60"/>
      <c r="O7" s="60"/>
      <c r="P7" s="60"/>
      <c r="Q7" s="60"/>
      <c r="R7" s="60"/>
      <c r="S7" s="60"/>
      <c r="T7" s="71"/>
      <c r="U7" s="66" t="s">
        <v>798</v>
      </c>
      <c r="V7" s="60"/>
      <c r="W7" s="71"/>
      <c r="Y7" t="str">
        <v xml:space="preserve"> maruchas</v>
      </c>
      <c r="Z7" t="s">
        <v>682</v>
      </c>
    </row>
    <row r="8" spans="2:26" x14ac:dyDescent="0.25">
      <c r="B8" s="68" t="s">
        <v>948</v>
      </c>
      <c r="C8" s="67">
        <f>COUNTIF(Tabla1[Pedido],Productos_frec_tabla[[#This Row],[Productoos]])</f>
        <v>0</v>
      </c>
      <c r="D8" s="67" t="str">
        <f>PROPER(Productos_frec_tabla[[#This Row],[Productoos]])</f>
        <v xml:space="preserve"> 1 Donas Espolvoreadas</v>
      </c>
      <c r="E8" s="67" t="str">
        <f>PROPER(Productos_frec_tabla[[#This Row],[Productoos]])</f>
        <v xml:space="preserve"> 1 Donas Espolvoreadas</v>
      </c>
      <c r="F8" s="67">
        <f>COUNTIF(Productos_frec_tabla[Columna1],Productos_frec_tabla[[#This Row],[Columna12]])</f>
        <v>2</v>
      </c>
      <c r="I8" s="65" t="s">
        <v>799</v>
      </c>
      <c r="J8" s="60" t="s">
        <v>800</v>
      </c>
      <c r="K8" s="60" t="s">
        <v>801</v>
      </c>
      <c r="L8" s="60" t="s">
        <v>802</v>
      </c>
      <c r="M8" s="60"/>
      <c r="N8" s="60"/>
      <c r="O8" s="60"/>
      <c r="P8" s="60"/>
      <c r="Q8" s="60"/>
      <c r="R8" s="60"/>
      <c r="S8" s="60"/>
      <c r="T8" s="71"/>
      <c r="U8" s="66" t="s">
        <v>799</v>
      </c>
      <c r="V8" s="60"/>
      <c r="W8" s="71"/>
      <c r="Y8" t="str">
        <v xml:space="preserve"> mineral de 2l</v>
      </c>
      <c r="Z8" t="s">
        <v>641</v>
      </c>
    </row>
    <row r="9" spans="2:26" x14ac:dyDescent="0.25">
      <c r="B9" s="68" t="s">
        <v>684</v>
      </c>
      <c r="C9" s="67">
        <f>COUNTIF(Tabla1[Pedido],Productos_frec_tabla[[#This Row],[Productoos]])</f>
        <v>0</v>
      </c>
      <c r="D9" s="67" t="str">
        <f>PROPER(Productos_frec_tabla[[#This Row],[Productoos]])</f>
        <v xml:space="preserve"> Garrafones</v>
      </c>
      <c r="E9" s="67" t="str">
        <f>PROPER(Productos_frec_tabla[[#This Row],[Productoos]])</f>
        <v xml:space="preserve"> Garrafones</v>
      </c>
      <c r="F9" s="67">
        <f>COUNTIF(Productos_frec_tabla[Columna1],Productos_frec_tabla[[#This Row],[Columna12]])</f>
        <v>2</v>
      </c>
      <c r="I9" s="65" t="s">
        <v>803</v>
      </c>
      <c r="J9" s="60" t="s">
        <v>804</v>
      </c>
      <c r="K9" s="60" t="s">
        <v>805</v>
      </c>
      <c r="L9" s="60" t="s">
        <v>806</v>
      </c>
      <c r="M9" s="60" t="s">
        <v>807</v>
      </c>
      <c r="N9" s="60" t="s">
        <v>808</v>
      </c>
      <c r="O9" s="60" t="s">
        <v>809</v>
      </c>
      <c r="P9" s="60" t="s">
        <v>810</v>
      </c>
      <c r="Q9" s="60" t="s">
        <v>811</v>
      </c>
      <c r="R9" s="60" t="s">
        <v>812</v>
      </c>
      <c r="S9" s="60" t="s">
        <v>813</v>
      </c>
      <c r="T9" s="71" t="s">
        <v>814</v>
      </c>
      <c r="U9" s="66" t="s">
        <v>803</v>
      </c>
      <c r="V9" s="60"/>
      <c r="W9" s="71"/>
      <c r="Y9" t="str">
        <v xml:space="preserve">$1pesos de limón </v>
      </c>
      <c r="Z9" t="s">
        <v>730</v>
      </c>
    </row>
    <row r="10" spans="2:26" x14ac:dyDescent="0.25">
      <c r="B10" s="68" t="s">
        <v>684</v>
      </c>
      <c r="C10" s="67">
        <f>COUNTIF(Tabla1[Pedido],Productos_frec_tabla[[#This Row],[Productoos]])</f>
        <v>0</v>
      </c>
      <c r="D10" s="67" t="str">
        <f>PROPER(Productos_frec_tabla[[#This Row],[Productoos]])</f>
        <v xml:space="preserve"> Garrafones</v>
      </c>
      <c r="E10" s="67" t="str">
        <f>PROPER(Productos_frec_tabla[[#This Row],[Productoos]])</f>
        <v xml:space="preserve"> Garrafones</v>
      </c>
      <c r="F10" s="67">
        <f>COUNTIF(Productos_frec_tabla[Columna1],Productos_frec_tabla[[#This Row],[Columna12]])</f>
        <v>2</v>
      </c>
      <c r="I10" s="65" t="s">
        <v>591</v>
      </c>
      <c r="J10" s="60" t="s">
        <v>592</v>
      </c>
      <c r="K10" s="60"/>
      <c r="L10" s="60"/>
      <c r="M10" s="60"/>
      <c r="N10" s="60"/>
      <c r="O10" s="60"/>
      <c r="P10" s="60"/>
      <c r="Q10" s="60"/>
      <c r="R10" s="60"/>
      <c r="S10" s="60"/>
      <c r="T10" s="71"/>
      <c r="U10" s="66" t="s">
        <v>591</v>
      </c>
      <c r="V10" s="60"/>
      <c r="W10" s="71"/>
      <c r="Y10" t="str">
        <v xml:space="preserve">1 coca normal </v>
      </c>
      <c r="Z10" t="s">
        <v>946</v>
      </c>
    </row>
    <row r="11" spans="2:26" x14ac:dyDescent="0.25">
      <c r="B11" s="68" t="s">
        <v>682</v>
      </c>
      <c r="C11" s="67">
        <f>COUNTIF(Tabla1[Pedido],Productos_frec_tabla[[#This Row],[Productoos]])</f>
        <v>0</v>
      </c>
      <c r="D11" s="67" t="str">
        <f>PROPER(Productos_frec_tabla[[#This Row],[Productoos]])</f>
        <v xml:space="preserve"> Maruchas</v>
      </c>
      <c r="E11" s="67" t="str">
        <f>PROPER(Productos_frec_tabla[[#This Row],[Productoos]])</f>
        <v xml:space="preserve"> Maruchas</v>
      </c>
      <c r="F11" s="67">
        <f>COUNTIF(Productos_frec_tabla[Columna1],Productos_frec_tabla[[#This Row],[Columna12]])</f>
        <v>2</v>
      </c>
      <c r="I11" s="65" t="s">
        <v>408</v>
      </c>
      <c r="J11" s="60"/>
      <c r="K11" s="60"/>
      <c r="L11" s="60"/>
      <c r="M11" s="60"/>
      <c r="N11" s="60"/>
      <c r="O11" s="60"/>
      <c r="P11" s="60"/>
      <c r="Q11" s="60"/>
      <c r="R11" s="60"/>
      <c r="S11" s="60"/>
      <c r="T11" s="71"/>
      <c r="U11" s="66" t="s">
        <v>408</v>
      </c>
      <c r="V11" s="60"/>
      <c r="W11" s="71"/>
      <c r="Y11" t="str">
        <v>1/2 de milanesa de res</v>
      </c>
      <c r="Z11" t="s">
        <v>525</v>
      </c>
    </row>
    <row r="12" spans="2:26" x14ac:dyDescent="0.25">
      <c r="B12" s="70" t="s">
        <v>682</v>
      </c>
      <c r="C12" s="67">
        <f>COUNTIF(Tabla1[Pedido],Productos_frec_tabla[[#This Row],[Productoos]])</f>
        <v>0</v>
      </c>
      <c r="D12" s="67" t="str">
        <f>PROPER(Productos_frec_tabla[[#This Row],[Productoos]])</f>
        <v xml:space="preserve"> Maruchas</v>
      </c>
      <c r="E12" s="67" t="str">
        <f>PROPER(Productos_frec_tabla[[#This Row],[Productoos]])</f>
        <v xml:space="preserve"> Maruchas</v>
      </c>
      <c r="F12" s="67">
        <f>COUNTIF(Productos_frec_tabla[Columna1],Productos_frec_tabla[[#This Row],[Columna12]])</f>
        <v>2</v>
      </c>
      <c r="I12" s="65" t="s">
        <v>815</v>
      </c>
      <c r="J12" s="60" t="s">
        <v>816</v>
      </c>
      <c r="K12" s="60"/>
      <c r="L12" s="60"/>
      <c r="M12" s="60"/>
      <c r="N12" s="60"/>
      <c r="O12" s="60"/>
      <c r="P12" s="60"/>
      <c r="Q12" s="60"/>
      <c r="R12" s="60"/>
      <c r="S12" s="60"/>
      <c r="T12" s="71"/>
      <c r="U12" s="66" t="s">
        <v>826</v>
      </c>
      <c r="V12" s="60" t="s">
        <v>827</v>
      </c>
      <c r="W12" s="71" t="s">
        <v>828</v>
      </c>
      <c r="Y12" t="str">
        <v>1/2 kg de queso oaxaca</v>
      </c>
      <c r="Z12" t="s">
        <v>939</v>
      </c>
    </row>
    <row r="13" spans="2:26" x14ac:dyDescent="0.25">
      <c r="B13" s="70" t="s">
        <v>641</v>
      </c>
      <c r="C13" s="67">
        <f>COUNTIF(Tabla1[Pedido],Productos_frec_tabla[[#This Row],[Productoos]])</f>
        <v>0</v>
      </c>
      <c r="D13" s="67" t="str">
        <f>PROPER(Productos_frec_tabla[[#This Row],[Productoos]])</f>
        <v xml:space="preserve"> Mineral De 2L</v>
      </c>
      <c r="E13" s="67" t="str">
        <f>PROPER(Productos_frec_tabla[[#This Row],[Productoos]])</f>
        <v xml:space="preserve"> Mineral De 2L</v>
      </c>
      <c r="F13" s="67">
        <f>COUNTIF(Productos_frec_tabla[Columna1],Productos_frec_tabla[[#This Row],[Columna12]])</f>
        <v>2</v>
      </c>
      <c r="I13" s="66" t="s">
        <v>451</v>
      </c>
      <c r="J13" s="60" t="s">
        <v>872</v>
      </c>
      <c r="K13" s="60"/>
      <c r="L13" s="60"/>
      <c r="M13" s="60"/>
      <c r="N13" s="60"/>
      <c r="O13" s="60"/>
      <c r="P13" s="60"/>
      <c r="Q13" s="60"/>
      <c r="R13" s="60"/>
      <c r="S13" s="60"/>
      <c r="T13" s="71"/>
      <c r="U13" s="66" t="s">
        <v>451</v>
      </c>
      <c r="V13" s="60"/>
      <c r="W13" s="71"/>
      <c r="Y13" t="str">
        <v>1/2 Kg limon</v>
      </c>
      <c r="Z13" t="s">
        <v>485</v>
      </c>
    </row>
    <row r="14" spans="2:26" x14ac:dyDescent="0.25">
      <c r="B14" s="70" t="s">
        <v>641</v>
      </c>
      <c r="C14" s="67">
        <f>COUNTIF(Tabla1[Pedido],Productos_frec_tabla[[#This Row],[Productoos]])</f>
        <v>0</v>
      </c>
      <c r="D14" s="67" t="str">
        <f>PROPER(Productos_frec_tabla[[#This Row],[Productoos]])</f>
        <v xml:space="preserve"> Mineral De 2L</v>
      </c>
      <c r="E14" s="67" t="str">
        <f>PROPER(Productos_frec_tabla[[#This Row],[Productoos]])</f>
        <v xml:space="preserve"> Mineral De 2L</v>
      </c>
      <c r="F14" s="67">
        <f>COUNTIF(Productos_frec_tabla[Columna1],Productos_frec_tabla[[#This Row],[Columna12]])</f>
        <v>2</v>
      </c>
      <c r="I14" s="66" t="s">
        <v>452</v>
      </c>
      <c r="J14" s="60" t="s">
        <v>453</v>
      </c>
      <c r="K14" s="60" t="s">
        <v>454</v>
      </c>
      <c r="L14" s="60"/>
      <c r="M14" s="60"/>
      <c r="N14" s="60"/>
      <c r="O14" s="60"/>
      <c r="P14" s="60"/>
      <c r="Q14" s="60"/>
      <c r="R14" s="60"/>
      <c r="S14" s="60"/>
      <c r="T14" s="71"/>
      <c r="U14" s="66" t="s">
        <v>452</v>
      </c>
      <c r="V14" s="60"/>
      <c r="W14" s="71"/>
      <c r="Y14" t="str">
        <v>aguacate</v>
      </c>
      <c r="Z14" t="s">
        <v>664</v>
      </c>
    </row>
    <row r="15" spans="2:26" x14ac:dyDescent="0.25">
      <c r="B15" s="70" t="s">
        <v>730</v>
      </c>
      <c r="C15" s="67">
        <f>COUNTIF(Tabla1[Pedido],Productos_frec_tabla[[#This Row],[Productoos]])</f>
        <v>0</v>
      </c>
      <c r="D15" s="67" t="str">
        <f>PROPER(Productos_frec_tabla[[#This Row],[Productoos]])</f>
        <v xml:space="preserve">$1Pesos De Limón </v>
      </c>
      <c r="E15" s="67" t="str">
        <f>PROPER(Productos_frec_tabla[[#This Row],[Productoos]])</f>
        <v xml:space="preserve">$1Pesos De Limón </v>
      </c>
      <c r="F15" s="67">
        <f>COUNTIF(Productos_frec_tabla[Columna1],Productos_frec_tabla[[#This Row],[Columna12]])</f>
        <v>2</v>
      </c>
      <c r="I15" s="66" t="s">
        <v>455</v>
      </c>
      <c r="J15" s="60" t="s">
        <v>456</v>
      </c>
      <c r="K15" s="60" t="s">
        <v>457</v>
      </c>
      <c r="L15" s="60" t="s">
        <v>458</v>
      </c>
      <c r="M15" s="60" t="s">
        <v>873</v>
      </c>
      <c r="N15" s="60" t="s">
        <v>459</v>
      </c>
      <c r="O15" s="60"/>
      <c r="P15" s="60"/>
      <c r="Q15" s="60"/>
      <c r="R15" s="60"/>
      <c r="S15" s="60"/>
      <c r="T15" s="71"/>
      <c r="U15" s="66" t="s">
        <v>455</v>
      </c>
      <c r="V15" s="60"/>
      <c r="W15" s="71"/>
      <c r="Y15" t="str">
        <v>Arroz</v>
      </c>
      <c r="Z15" t="s">
        <v>435</v>
      </c>
    </row>
    <row r="16" spans="2:26" x14ac:dyDescent="0.25">
      <c r="B16" s="70" t="s">
        <v>730</v>
      </c>
      <c r="C16" s="67">
        <f>COUNTIF(Tabla1[Pedido],Productos_frec_tabla[[#This Row],[Productoos]])</f>
        <v>0</v>
      </c>
      <c r="D16" s="67" t="str">
        <f>PROPER(Productos_frec_tabla[[#This Row],[Productoos]])</f>
        <v xml:space="preserve">$1Pesos De Limón </v>
      </c>
      <c r="E16" s="67" t="str">
        <f>PROPER(Productos_frec_tabla[[#This Row],[Productoos]])</f>
        <v xml:space="preserve">$1Pesos De Limón </v>
      </c>
      <c r="F16" s="67">
        <f>COUNTIF(Productos_frec_tabla[Columna1],Productos_frec_tabla[[#This Row],[Columna12]])</f>
        <v>2</v>
      </c>
      <c r="I16" s="66" t="s">
        <v>460</v>
      </c>
      <c r="J16" s="60" t="s">
        <v>461</v>
      </c>
      <c r="K16" s="60" t="s">
        <v>462</v>
      </c>
      <c r="L16" s="60"/>
      <c r="M16" s="60"/>
      <c r="N16" s="60"/>
      <c r="O16" s="60"/>
      <c r="P16" s="60"/>
      <c r="Q16" s="60"/>
      <c r="R16" s="60"/>
      <c r="S16" s="60"/>
      <c r="T16" s="71"/>
      <c r="U16" s="66" t="s">
        <v>460</v>
      </c>
      <c r="V16" s="60"/>
      <c r="W16" s="71"/>
      <c r="Y16" t="str">
        <v>bolillos</v>
      </c>
      <c r="Z16" t="s">
        <v>716</v>
      </c>
    </row>
    <row r="17" spans="2:26" x14ac:dyDescent="0.25">
      <c r="B17" s="70" t="s">
        <v>946</v>
      </c>
      <c r="C17" s="67">
        <f>COUNTIF(Tabla1[Pedido],Productos_frec_tabla[[#This Row],[Productoos]])</f>
        <v>0</v>
      </c>
      <c r="D17" s="67" t="str">
        <f>PROPER(Productos_frec_tabla[[#This Row],[Productoos]])</f>
        <v xml:space="preserve">1 Coca Normal </v>
      </c>
      <c r="E17" s="67" t="str">
        <f>PROPER(Productos_frec_tabla[[#This Row],[Productoos]])</f>
        <v xml:space="preserve">1 Coca Normal </v>
      </c>
      <c r="F17" s="67">
        <f>COUNTIF(Productos_frec_tabla[Columna1],Productos_frec_tabla[[#This Row],[Columna12]])</f>
        <v>2</v>
      </c>
      <c r="I17" s="66" t="s">
        <v>463</v>
      </c>
      <c r="J17" s="60" t="s">
        <v>874</v>
      </c>
      <c r="K17" s="60" t="s">
        <v>875</v>
      </c>
      <c r="L17" s="60" t="s">
        <v>876</v>
      </c>
      <c r="M17" s="60"/>
      <c r="N17" s="60"/>
      <c r="O17" s="60"/>
      <c r="P17" s="60"/>
      <c r="Q17" s="60"/>
      <c r="R17" s="60"/>
      <c r="S17" s="60"/>
      <c r="T17" s="71"/>
      <c r="U17" s="66" t="s">
        <v>463</v>
      </c>
      <c r="V17" s="60"/>
      <c r="W17" s="71"/>
      <c r="Y17" t="str">
        <v>Bolsa de palomitas</v>
      </c>
      <c r="Z17" t="s">
        <v>614</v>
      </c>
    </row>
    <row r="18" spans="2:26" x14ac:dyDescent="0.25">
      <c r="B18" s="70" t="s">
        <v>946</v>
      </c>
      <c r="C18" s="67">
        <f>COUNTIF(Tabla1[Pedido],Productos_frec_tabla[[#This Row],[Productoos]])</f>
        <v>0</v>
      </c>
      <c r="D18" s="67" t="str">
        <f>PROPER(Productos_frec_tabla[[#This Row],[Productoos]])</f>
        <v xml:space="preserve">1 Coca Normal </v>
      </c>
      <c r="E18" s="67" t="str">
        <f>PROPER(Productos_frec_tabla[[#This Row],[Productoos]])</f>
        <v xml:space="preserve">1 Coca Normal </v>
      </c>
      <c r="F18" s="67">
        <f>COUNTIF(Productos_frec_tabla[Columna1],Productos_frec_tabla[[#This Row],[Columna12]])</f>
        <v>2</v>
      </c>
      <c r="I18" s="66" t="s">
        <v>464</v>
      </c>
      <c r="J18" s="60" t="s">
        <v>465</v>
      </c>
      <c r="K18" s="60" t="s">
        <v>877</v>
      </c>
      <c r="L18" s="60" t="s">
        <v>878</v>
      </c>
      <c r="M18" s="60" t="s">
        <v>53</v>
      </c>
      <c r="N18" s="60"/>
      <c r="O18" s="60"/>
      <c r="P18" s="60"/>
      <c r="Q18" s="60"/>
      <c r="R18" s="60"/>
      <c r="S18" s="60"/>
      <c r="T18" s="71"/>
      <c r="U18" s="66" t="s">
        <v>464</v>
      </c>
      <c r="V18" s="60"/>
      <c r="W18" s="71"/>
      <c r="Y18" t="str">
        <v xml:space="preserve">caja de pan molido </v>
      </c>
      <c r="Z18" t="s">
        <v>650</v>
      </c>
    </row>
    <row r="19" spans="2:26" x14ac:dyDescent="0.25">
      <c r="B19" s="68" t="s">
        <v>525</v>
      </c>
      <c r="C19" s="67">
        <f>COUNTIF(Tabla1[Pedido],Productos_frec_tabla[[#This Row],[Productoos]])</f>
        <v>0</v>
      </c>
      <c r="D19" s="67" t="str">
        <f>PROPER(Productos_frec_tabla[[#This Row],[Productoos]])</f>
        <v>1/2 De Milanesa De Res</v>
      </c>
      <c r="E19" s="67" t="str">
        <f>PROPER(Productos_frec_tabla[[#This Row],[Productoos]])</f>
        <v>1/2 De Milanesa De Res</v>
      </c>
      <c r="F19" s="67">
        <f>COUNTIF(Productos_frec_tabla[Columna1],Productos_frec_tabla[[#This Row],[Columna12]])</f>
        <v>2</v>
      </c>
      <c r="I19" s="66" t="s">
        <v>269</v>
      </c>
      <c r="J19" s="60"/>
      <c r="K19" s="60"/>
      <c r="L19" s="60"/>
      <c r="M19" s="60"/>
      <c r="N19" s="60"/>
      <c r="O19" s="60"/>
      <c r="P19" s="60"/>
      <c r="Q19" s="60"/>
      <c r="R19" s="60"/>
      <c r="S19" s="60"/>
      <c r="T19" s="71"/>
      <c r="U19" s="66" t="s">
        <v>269</v>
      </c>
      <c r="V19" s="60"/>
      <c r="W19" s="71"/>
      <c r="Y19" t="str">
        <v>coca de 1.75</v>
      </c>
      <c r="Z19" t="s">
        <v>649</v>
      </c>
    </row>
    <row r="20" spans="2:26" x14ac:dyDescent="0.25">
      <c r="B20" s="68" t="s">
        <v>525</v>
      </c>
      <c r="C20" s="67">
        <f>COUNTIF(Tabla1[Pedido],Productos_frec_tabla[[#This Row],[Productoos]])</f>
        <v>0</v>
      </c>
      <c r="D20" s="67" t="str">
        <f>PROPER(Productos_frec_tabla[[#This Row],[Productoos]])</f>
        <v>1/2 De Milanesa De Res</v>
      </c>
      <c r="E20" s="67" t="str">
        <f>PROPER(Productos_frec_tabla[[#This Row],[Productoos]])</f>
        <v>1/2 De Milanesa De Res</v>
      </c>
      <c r="F20" s="67">
        <f>COUNTIF(Productos_frec_tabla[Columna1],Productos_frec_tabla[[#This Row],[Columna12]])</f>
        <v>2</v>
      </c>
      <c r="I20" s="66" t="s">
        <v>466</v>
      </c>
      <c r="J20" s="60" t="s">
        <v>467</v>
      </c>
      <c r="K20" s="60" t="s">
        <v>468</v>
      </c>
      <c r="L20" s="60" t="s">
        <v>879</v>
      </c>
      <c r="M20" s="60"/>
      <c r="N20" s="60"/>
      <c r="O20" s="60"/>
      <c r="P20" s="60"/>
      <c r="Q20" s="60"/>
      <c r="R20" s="60"/>
      <c r="S20" s="60"/>
      <c r="T20" s="71"/>
      <c r="U20" s="66" t="s">
        <v>466</v>
      </c>
      <c r="V20" s="60"/>
      <c r="W20" s="71"/>
      <c r="Y20" t="str">
        <v xml:space="preserve">dos cebollas </v>
      </c>
      <c r="Z20" t="s">
        <v>524</v>
      </c>
    </row>
    <row r="21" spans="2:26" x14ac:dyDescent="0.25">
      <c r="B21" s="70" t="s">
        <v>939</v>
      </c>
      <c r="C21" s="67">
        <f>COUNTIF(Tabla1[Pedido],Productos_frec_tabla[[#This Row],[Productoos]])</f>
        <v>0</v>
      </c>
      <c r="D21" s="67" t="str">
        <f>PROPER(Productos_frec_tabla[[#This Row],[Productoos]])</f>
        <v>1/2 Kg De Queso Oaxaca</v>
      </c>
      <c r="E21" s="67" t="str">
        <f>PROPER(Productos_frec_tabla[[#This Row],[Productoos]])</f>
        <v>1/2 Kg De Queso Oaxaca</v>
      </c>
      <c r="F21" s="67">
        <f>COUNTIF(Productos_frec_tabla[Columna1],Productos_frec_tabla[[#This Row],[Columna12]])</f>
        <v>2</v>
      </c>
      <c r="I21" s="66" t="s">
        <v>469</v>
      </c>
      <c r="J21" s="60" t="s">
        <v>470</v>
      </c>
      <c r="K21" s="60" t="s">
        <v>880</v>
      </c>
      <c r="L21" s="60"/>
      <c r="M21" s="60"/>
      <c r="N21" s="60"/>
      <c r="O21" s="60"/>
      <c r="P21" s="60"/>
      <c r="Q21" s="60"/>
      <c r="R21" s="60"/>
      <c r="S21" s="60"/>
      <c r="T21" s="71"/>
      <c r="U21" s="66" t="s">
        <v>469</v>
      </c>
      <c r="V21" s="60"/>
      <c r="W21" s="71"/>
      <c r="Y21" t="str">
        <v>garrafon de bonafont</v>
      </c>
      <c r="Z21" t="s">
        <v>612</v>
      </c>
    </row>
    <row r="22" spans="2:26" x14ac:dyDescent="0.25">
      <c r="B22" s="70" t="s">
        <v>939</v>
      </c>
      <c r="C22" s="67">
        <f>COUNTIF(Tabla1[Pedido],Productos_frec_tabla[[#This Row],[Productoos]])</f>
        <v>0</v>
      </c>
      <c r="D22" s="67" t="str">
        <f>PROPER(Productos_frec_tabla[[#This Row],[Productoos]])</f>
        <v>1/2 Kg De Queso Oaxaca</v>
      </c>
      <c r="E22" s="67" t="str">
        <f>PROPER(Productos_frec_tabla[[#This Row],[Productoos]])</f>
        <v>1/2 Kg De Queso Oaxaca</v>
      </c>
      <c r="F22" s="67">
        <f>COUNTIF(Productos_frec_tabla[Columna1],Productos_frec_tabla[[#This Row],[Columna12]])</f>
        <v>2</v>
      </c>
      <c r="I22" s="66" t="s">
        <v>471</v>
      </c>
      <c r="J22" s="60" t="s">
        <v>881</v>
      </c>
      <c r="K22" s="60"/>
      <c r="L22" s="60"/>
      <c r="M22" s="60"/>
      <c r="N22" s="60"/>
      <c r="O22" s="60"/>
      <c r="P22" s="60"/>
      <c r="Q22" s="60"/>
      <c r="R22" s="60"/>
      <c r="S22" s="60"/>
      <c r="T22" s="71"/>
      <c r="U22" s="66" t="s">
        <v>471</v>
      </c>
      <c r="V22" s="60"/>
      <c r="W22" s="71"/>
      <c r="Y22" t="str">
        <v>lata de frijoles refritos negros.</v>
      </c>
      <c r="Z22" t="s">
        <v>668</v>
      </c>
    </row>
    <row r="23" spans="2:26" x14ac:dyDescent="0.25">
      <c r="B23" s="68" t="s">
        <v>485</v>
      </c>
      <c r="C23" s="67">
        <f>COUNTIF(Tabla1[Pedido],Productos_frec_tabla[[#This Row],[Productoos]])</f>
        <v>0</v>
      </c>
      <c r="D23" s="67" t="str">
        <f>PROPER(Productos_frec_tabla[[#This Row],[Productoos]])</f>
        <v>1/2 Kg Limon</v>
      </c>
      <c r="E23" s="67" t="str">
        <f>PROPER(Productos_frec_tabla[[#This Row],[Productoos]])</f>
        <v>1/2 Kg Limon</v>
      </c>
      <c r="F23" s="67">
        <f>COUNTIF(Productos_frec_tabla[Columna1],Productos_frec_tabla[[#This Row],[Columna12]])</f>
        <v>2</v>
      </c>
      <c r="I23" s="66" t="s">
        <v>472</v>
      </c>
      <c r="J23" s="60" t="s">
        <v>473</v>
      </c>
      <c r="K23" s="60" t="s">
        <v>882</v>
      </c>
      <c r="L23" s="60"/>
      <c r="M23" s="60"/>
      <c r="N23" s="60"/>
      <c r="O23" s="60"/>
      <c r="P23" s="60"/>
      <c r="Q23" s="60"/>
      <c r="R23" s="60"/>
      <c r="S23" s="60"/>
      <c r="T23" s="71"/>
      <c r="U23" s="66" t="s">
        <v>472</v>
      </c>
      <c r="V23" s="60"/>
      <c r="W23" s="71"/>
      <c r="Y23" t="str">
        <v xml:space="preserve">lata de piña en almibar </v>
      </c>
      <c r="Z23" t="s">
        <v>634</v>
      </c>
    </row>
    <row r="24" spans="2:26" x14ac:dyDescent="0.25">
      <c r="B24" s="68" t="s">
        <v>485</v>
      </c>
      <c r="C24" s="67">
        <f>COUNTIF(Tabla1[Pedido],Productos_frec_tabla[[#This Row],[Productoos]])</f>
        <v>0</v>
      </c>
      <c r="D24" s="67" t="str">
        <f>PROPER(Productos_frec_tabla[[#This Row],[Productoos]])</f>
        <v>1/2 Kg Limon</v>
      </c>
      <c r="E24" s="67" t="str">
        <f>PROPER(Productos_frec_tabla[[#This Row],[Productoos]])</f>
        <v>1/2 Kg Limon</v>
      </c>
      <c r="F24" s="67">
        <f>COUNTIF(Productos_frec_tabla[Columna1],Productos_frec_tabla[[#This Row],[Columna12]])</f>
        <v>2</v>
      </c>
      <c r="I24" s="66" t="s">
        <v>474</v>
      </c>
      <c r="J24" s="60" t="s">
        <v>883</v>
      </c>
      <c r="K24" s="60"/>
      <c r="L24" s="60"/>
      <c r="M24" s="60"/>
      <c r="N24" s="60"/>
      <c r="O24" s="60"/>
      <c r="P24" s="60"/>
      <c r="Q24" s="60"/>
      <c r="R24" s="60"/>
      <c r="S24" s="60"/>
      <c r="T24" s="71"/>
      <c r="U24" s="66" t="s">
        <v>474</v>
      </c>
      <c r="V24" s="60"/>
      <c r="W24" s="71"/>
      <c r="Y24" t="str">
        <v xml:space="preserve">sprite de 600 ml </v>
      </c>
      <c r="Z24" t="s">
        <v>752</v>
      </c>
    </row>
    <row r="25" spans="2:26" x14ac:dyDescent="0.25">
      <c r="B25" s="70" t="s">
        <v>664</v>
      </c>
      <c r="C25" s="67">
        <f>COUNTIF(Tabla1[Pedido],Productos_frec_tabla[[#This Row],[Productoos]])</f>
        <v>0</v>
      </c>
      <c r="D25" s="67" t="str">
        <f>PROPER(Productos_frec_tabla[[#This Row],[Productoos]])</f>
        <v>Aguacate</v>
      </c>
      <c r="E25" s="67" t="str">
        <f>PROPER(Productos_frec_tabla[[#This Row],[Productoos]])</f>
        <v>Aguacate</v>
      </c>
      <c r="F25" s="67">
        <f>COUNTIF(Productos_frec_tabla[Columna1],Productos_frec_tabla[[#This Row],[Columna12]])</f>
        <v>2</v>
      </c>
      <c r="I25" s="66" t="s">
        <v>475</v>
      </c>
      <c r="J25" s="60" t="s">
        <v>476</v>
      </c>
      <c r="K25" s="60" t="s">
        <v>477</v>
      </c>
      <c r="L25" s="60" t="s">
        <v>478</v>
      </c>
      <c r="M25" s="60" t="s">
        <v>479</v>
      </c>
      <c r="N25" s="60"/>
      <c r="O25" s="60"/>
      <c r="P25" s="60"/>
      <c r="Q25" s="60"/>
      <c r="R25" s="60"/>
      <c r="S25" s="60"/>
      <c r="T25" s="71"/>
      <c r="U25" s="66" t="s">
        <v>475</v>
      </c>
      <c r="V25" s="60"/>
      <c r="W25" s="71"/>
      <c r="Y25" t="str">
        <v xml:space="preserve">tortillas de harina </v>
      </c>
      <c r="Z25" t="s">
        <v>921</v>
      </c>
    </row>
    <row r="26" spans="2:26" x14ac:dyDescent="0.25">
      <c r="B26" s="70" t="s">
        <v>664</v>
      </c>
      <c r="C26" s="67">
        <f>COUNTIF(Tabla1[Pedido],Productos_frec_tabla[[#This Row],[Productoos]])</f>
        <v>0</v>
      </c>
      <c r="D26" s="67" t="str">
        <f>PROPER(Productos_frec_tabla[[#This Row],[Productoos]])</f>
        <v>Aguacate</v>
      </c>
      <c r="E26" s="67" t="str">
        <f>PROPER(Productos_frec_tabla[[#This Row],[Productoos]])</f>
        <v>Aguacate</v>
      </c>
      <c r="F26" s="67">
        <f>COUNTIF(Productos_frec_tabla[Columna1],Productos_frec_tabla[[#This Row],[Columna12]])</f>
        <v>2</v>
      </c>
      <c r="I26" s="66" t="s">
        <v>480</v>
      </c>
      <c r="J26" s="60" t="s">
        <v>884</v>
      </c>
      <c r="K26" s="60" t="s">
        <v>481</v>
      </c>
      <c r="L26" s="60" t="s">
        <v>482</v>
      </c>
      <c r="M26" s="60" t="s">
        <v>483</v>
      </c>
      <c r="N26" s="60"/>
      <c r="O26" s="60"/>
      <c r="P26" s="60"/>
      <c r="Q26" s="60"/>
      <c r="R26" s="60"/>
      <c r="S26" s="60"/>
      <c r="T26" s="71"/>
      <c r="U26" s="66" t="s">
        <v>480</v>
      </c>
      <c r="V26" s="60"/>
      <c r="W26" s="71"/>
      <c r="Y26" t="str">
        <v xml:space="preserve">  bolsas de regalo medianas</v>
      </c>
      <c r="Z26" t="s">
        <v>935</v>
      </c>
    </row>
    <row r="27" spans="2:26" x14ac:dyDescent="0.25">
      <c r="B27" s="70" t="s">
        <v>435</v>
      </c>
      <c r="C27" s="67">
        <f>COUNTIF(Tabla1[Pedido],Productos_frec_tabla[[#This Row],[Productoos]])</f>
        <v>0</v>
      </c>
      <c r="D27" s="67" t="str">
        <f>PROPER(Productos_frec_tabla[[#This Row],[Productoos]])</f>
        <v>Arroz</v>
      </c>
      <c r="E27" s="67" t="str">
        <f>PROPER(Productos_frec_tabla[[#This Row],[Productoos]])</f>
        <v>Arroz</v>
      </c>
      <c r="F27" s="67">
        <f>COUNTIF(Productos_frec_tabla[Columna1],Productos_frec_tabla[[#This Row],[Columna12]])</f>
        <v>2</v>
      </c>
      <c r="I27" s="66" t="s">
        <v>279</v>
      </c>
      <c r="J27" s="60"/>
      <c r="K27" s="60"/>
      <c r="L27" s="60"/>
      <c r="M27" s="60"/>
      <c r="N27" s="60"/>
      <c r="O27" s="60"/>
      <c r="P27" s="60"/>
      <c r="Q27" s="60"/>
      <c r="R27" s="60"/>
      <c r="S27" s="60"/>
      <c r="T27" s="71"/>
      <c r="U27" s="66" t="s">
        <v>279</v>
      </c>
      <c r="V27" s="60"/>
      <c r="W27" s="71"/>
      <c r="Y27" t="str">
        <v xml:space="preserve">  cocas reto de 3l</v>
      </c>
      <c r="Z27" t="s">
        <v>709</v>
      </c>
    </row>
    <row r="28" spans="2:26" x14ac:dyDescent="0.25">
      <c r="B28" s="70" t="s">
        <v>435</v>
      </c>
      <c r="C28" s="67">
        <f>COUNTIF(Tabla1[Pedido],Productos_frec_tabla[[#This Row],[Productoos]])</f>
        <v>0</v>
      </c>
      <c r="D28" s="67" t="str">
        <f>PROPER(Productos_frec_tabla[[#This Row],[Productoos]])</f>
        <v>Arroz</v>
      </c>
      <c r="E28" s="67" t="str">
        <f>PROPER(Productos_frec_tabla[[#This Row],[Productoos]])</f>
        <v>Arroz</v>
      </c>
      <c r="F28" s="67">
        <f>COUNTIF(Productos_frec_tabla[Columna1],Productos_frec_tabla[[#This Row],[Columna12]])</f>
        <v>2</v>
      </c>
      <c r="I28" s="66" t="s">
        <v>834</v>
      </c>
      <c r="J28" s="60" t="s">
        <v>847</v>
      </c>
      <c r="K28" s="60" t="s">
        <v>848</v>
      </c>
      <c r="L28" s="60" t="s">
        <v>484</v>
      </c>
      <c r="M28" s="60"/>
      <c r="N28" s="60"/>
      <c r="O28" s="60"/>
      <c r="P28" s="60"/>
      <c r="Q28" s="60"/>
      <c r="R28" s="60"/>
      <c r="S28" s="60"/>
      <c r="T28" s="71"/>
      <c r="U28" s="66" t="s">
        <v>835</v>
      </c>
      <c r="V28" s="60" t="s">
        <v>593</v>
      </c>
      <c r="W28" s="71"/>
      <c r="Y28" t="str">
        <v xml:space="preserve">  cocas sin azucar</v>
      </c>
      <c r="Z28" t="s">
        <v>692</v>
      </c>
    </row>
    <row r="29" spans="2:26" x14ac:dyDescent="0.25">
      <c r="B29" s="68" t="s">
        <v>716</v>
      </c>
      <c r="C29" s="67">
        <f>COUNTIF(Tabla1[Pedido],Productos_frec_tabla[[#This Row],[Productoos]])</f>
        <v>0</v>
      </c>
      <c r="D29" s="67" t="str">
        <f>PROPER(Productos_frec_tabla[[#This Row],[Productoos]])</f>
        <v>Bolillos</v>
      </c>
      <c r="E29" s="67" t="str">
        <f>PROPER(Productos_frec_tabla[[#This Row],[Productoos]])</f>
        <v>Bolillos</v>
      </c>
      <c r="F29" s="67">
        <f>COUNTIF(Productos_frec_tabla[Columna1],Productos_frec_tabla[[#This Row],[Columna12]])</f>
        <v>2</v>
      </c>
      <c r="I29" s="66" t="s">
        <v>283</v>
      </c>
      <c r="J29" s="60"/>
      <c r="K29" s="60"/>
      <c r="L29" s="60"/>
      <c r="M29" s="60"/>
      <c r="N29" s="60"/>
      <c r="O29" s="60"/>
      <c r="P29" s="60"/>
      <c r="Q29" s="60"/>
      <c r="R29" s="60"/>
      <c r="S29" s="60"/>
      <c r="T29" s="71"/>
      <c r="U29" s="66" t="s">
        <v>283</v>
      </c>
      <c r="V29" s="60"/>
      <c r="W29" s="71"/>
      <c r="Y29" t="str">
        <v xml:space="preserve">  doraditas</v>
      </c>
      <c r="Z29" t="s">
        <v>697</v>
      </c>
    </row>
    <row r="30" spans="2:26" x14ac:dyDescent="0.25">
      <c r="B30" s="68" t="s">
        <v>716</v>
      </c>
      <c r="C30" s="67">
        <f>COUNTIF(Tabla1[Pedido],Productos_frec_tabla[[#This Row],[Productoos]])</f>
        <v>0</v>
      </c>
      <c r="D30" s="67" t="str">
        <f>PROPER(Productos_frec_tabla[[#This Row],[Productoos]])</f>
        <v>Bolillos</v>
      </c>
      <c r="E30" s="67" t="str">
        <f>PROPER(Productos_frec_tabla[[#This Row],[Productoos]])</f>
        <v>Bolillos</v>
      </c>
      <c r="F30" s="67">
        <f>COUNTIF(Productos_frec_tabla[Columna1],Productos_frec_tabla[[#This Row],[Columna12]])</f>
        <v>2</v>
      </c>
      <c r="I30" s="66" t="s">
        <v>485</v>
      </c>
      <c r="J30" s="60" t="s">
        <v>486</v>
      </c>
      <c r="K30" s="60"/>
      <c r="L30" s="60"/>
      <c r="M30" s="60"/>
      <c r="N30" s="60"/>
      <c r="O30" s="60"/>
      <c r="P30" s="60"/>
      <c r="Q30" s="60"/>
      <c r="R30" s="60"/>
      <c r="S30" s="60"/>
      <c r="T30" s="71"/>
      <c r="U30" s="66" t="s">
        <v>485</v>
      </c>
      <c r="V30" s="60"/>
      <c r="W30" s="71"/>
      <c r="Y30" t="str">
        <v xml:space="preserve">  doritos nacho </v>
      </c>
      <c r="Z30" t="s">
        <v>701</v>
      </c>
    </row>
    <row r="31" spans="2:26" x14ac:dyDescent="0.25">
      <c r="B31" s="68" t="s">
        <v>614</v>
      </c>
      <c r="C31" s="67">
        <f>COUNTIF(Tabla1[Pedido],Productos_frec_tabla[[#This Row],[Productoos]])</f>
        <v>0</v>
      </c>
      <c r="D31" s="67" t="str">
        <f>PROPER(Productos_frec_tabla[[#This Row],[Productoos]])</f>
        <v>Bolsa De Palomitas</v>
      </c>
      <c r="E31" s="67" t="str">
        <f>PROPER(Productos_frec_tabla[[#This Row],[Productoos]])</f>
        <v>Bolsa De Palomitas</v>
      </c>
      <c r="F31" s="67">
        <f>COUNTIF(Productos_frec_tabla[Columna1],Productos_frec_tabla[[#This Row],[Columna12]])</f>
        <v>2</v>
      </c>
      <c r="I31" s="66" t="s">
        <v>487</v>
      </c>
      <c r="J31" s="60" t="s">
        <v>488</v>
      </c>
      <c r="K31" s="60" t="s">
        <v>489</v>
      </c>
      <c r="L31" s="60" t="s">
        <v>490</v>
      </c>
      <c r="M31" s="60" t="s">
        <v>491</v>
      </c>
      <c r="N31" s="60"/>
      <c r="O31" s="60"/>
      <c r="P31" s="60"/>
      <c r="Q31" s="60"/>
      <c r="R31" s="60"/>
      <c r="S31" s="60"/>
      <c r="T31" s="71"/>
      <c r="U31" s="66" t="s">
        <v>487</v>
      </c>
      <c r="V31" s="60"/>
      <c r="W31" s="71"/>
      <c r="Y31" t="str">
        <v xml:space="preserve">  gelatinas</v>
      </c>
      <c r="Z31" t="s">
        <v>694</v>
      </c>
    </row>
    <row r="32" spans="2:26" x14ac:dyDescent="0.25">
      <c r="B32" s="68" t="s">
        <v>614</v>
      </c>
      <c r="C32" s="67">
        <f>COUNTIF(Tabla1[Pedido],Productos_frec_tabla[[#This Row],[Productoos]])</f>
        <v>0</v>
      </c>
      <c r="D32" s="67" t="str">
        <f>PROPER(Productos_frec_tabla[[#This Row],[Productoos]])</f>
        <v>Bolsa De Palomitas</v>
      </c>
      <c r="E32" s="67" t="str">
        <f>PROPER(Productos_frec_tabla[[#This Row],[Productoos]])</f>
        <v>Bolsa De Palomitas</v>
      </c>
      <c r="F32" s="67">
        <f>COUNTIF(Productos_frec_tabla[Columna1],Productos_frec_tabla[[#This Row],[Columna12]])</f>
        <v>2</v>
      </c>
      <c r="I32" s="66" t="s">
        <v>476</v>
      </c>
      <c r="J32" s="60" t="s">
        <v>492</v>
      </c>
      <c r="K32" s="60" t="s">
        <v>885</v>
      </c>
      <c r="L32" s="60" t="s">
        <v>886</v>
      </c>
      <c r="M32" s="60"/>
      <c r="N32" s="60"/>
      <c r="O32" s="60"/>
      <c r="P32" s="60"/>
      <c r="Q32" s="60"/>
      <c r="R32" s="60"/>
      <c r="S32" s="60"/>
      <c r="T32" s="71"/>
      <c r="U32" s="66" t="s">
        <v>476</v>
      </c>
      <c r="V32" s="60"/>
      <c r="W32" s="71"/>
      <c r="Y32" t="str">
        <v xml:space="preserve">  gelatinas gari</v>
      </c>
      <c r="Z32" t="s">
        <v>707</v>
      </c>
    </row>
    <row r="33" spans="2:26" x14ac:dyDescent="0.25">
      <c r="B33" s="70" t="s">
        <v>650</v>
      </c>
      <c r="C33" s="67">
        <f>COUNTIF(Tabla1[Pedido],Productos_frec_tabla[[#This Row],[Productoos]])</f>
        <v>0</v>
      </c>
      <c r="D33" s="67" t="str">
        <f>PROPER(Productos_frec_tabla[[#This Row],[Productoos]])</f>
        <v xml:space="preserve">Caja De Pan Molido </v>
      </c>
      <c r="E33" s="67" t="str">
        <f>PROPER(Productos_frec_tabla[[#This Row],[Productoos]])</f>
        <v xml:space="preserve">Caja De Pan Molido </v>
      </c>
      <c r="F33" s="67">
        <f>COUNTIF(Productos_frec_tabla[Columna1],Productos_frec_tabla[[#This Row],[Columna12]])</f>
        <v>2</v>
      </c>
      <c r="I33" s="66" t="s">
        <v>458</v>
      </c>
      <c r="J33" s="60" t="s">
        <v>493</v>
      </c>
      <c r="K33" s="60"/>
      <c r="L33" s="60"/>
      <c r="M33" s="60"/>
      <c r="N33" s="60"/>
      <c r="O33" s="60"/>
      <c r="P33" s="60"/>
      <c r="Q33" s="60"/>
      <c r="R33" s="60"/>
      <c r="S33" s="60"/>
      <c r="T33" s="71"/>
      <c r="U33" s="66" t="s">
        <v>458</v>
      </c>
      <c r="V33" s="60"/>
      <c r="W33" s="71"/>
      <c r="Y33" t="str">
        <v xml:space="preserve"> 1 marlboro rojos </v>
      </c>
      <c r="Z33" t="s">
        <v>945</v>
      </c>
    </row>
    <row r="34" spans="2:26" x14ac:dyDescent="0.25">
      <c r="B34" s="70" t="s">
        <v>650</v>
      </c>
      <c r="C34" s="67">
        <f>COUNTIF(Tabla1[Pedido],Productos_frec_tabla[[#This Row],[Productoos]])</f>
        <v>0</v>
      </c>
      <c r="D34" s="67" t="str">
        <f>PROPER(Productos_frec_tabla[[#This Row],[Productoos]])</f>
        <v xml:space="preserve">Caja De Pan Molido </v>
      </c>
      <c r="E34" s="67" t="str">
        <f>PROPER(Productos_frec_tabla[[#This Row],[Productoos]])</f>
        <v xml:space="preserve">Caja De Pan Molido </v>
      </c>
      <c r="F34" s="67">
        <f>COUNTIF(Productos_frec_tabla[Columna1],Productos_frec_tabla[[#This Row],[Columna12]])</f>
        <v>2</v>
      </c>
      <c r="I34" s="66" t="s">
        <v>494</v>
      </c>
      <c r="J34" s="60" t="s">
        <v>495</v>
      </c>
      <c r="K34" s="60" t="s">
        <v>496</v>
      </c>
      <c r="L34" s="60" t="s">
        <v>497</v>
      </c>
      <c r="M34" s="60" t="s">
        <v>498</v>
      </c>
      <c r="N34" s="60"/>
      <c r="O34" s="60"/>
      <c r="P34" s="60"/>
      <c r="Q34" s="60"/>
      <c r="R34" s="60"/>
      <c r="S34" s="60"/>
      <c r="T34" s="71"/>
      <c r="U34" s="66" t="s">
        <v>494</v>
      </c>
      <c r="V34" s="60"/>
      <c r="W34" s="71"/>
      <c r="Y34" t="str">
        <v xml:space="preserve"> 1 moka deslactosado tamaño grande</v>
      </c>
      <c r="Z34" t="s">
        <v>934</v>
      </c>
    </row>
    <row r="35" spans="2:26" x14ac:dyDescent="0.25">
      <c r="B35" s="70" t="s">
        <v>649</v>
      </c>
      <c r="C35" s="67">
        <f>COUNTIF(Tabla1[Pedido],Productos_frec_tabla[[#This Row],[Productoos]])</f>
        <v>0</v>
      </c>
      <c r="D35" s="67" t="str">
        <f>PROPER(Productos_frec_tabla[[#This Row],[Productoos]])</f>
        <v>Coca De 1.75</v>
      </c>
      <c r="E35" s="67" t="str">
        <f>PROPER(Productos_frec_tabla[[#This Row],[Productoos]])</f>
        <v>Coca De 1.75</v>
      </c>
      <c r="F35" s="67">
        <f>COUNTIF(Productos_frec_tabla[Columna1],Productos_frec_tabla[[#This Row],[Columna12]])</f>
        <v>3</v>
      </c>
      <c r="I35" s="66" t="s">
        <v>291</v>
      </c>
      <c r="J35" s="60"/>
      <c r="K35" s="60"/>
      <c r="L35" s="60"/>
      <c r="M35" s="60"/>
      <c r="N35" s="60"/>
      <c r="O35" s="60"/>
      <c r="P35" s="60"/>
      <c r="Q35" s="60"/>
      <c r="R35" s="60"/>
      <c r="S35" s="60"/>
      <c r="T35" s="71"/>
      <c r="U35" s="66" t="s">
        <v>291</v>
      </c>
      <c r="V35" s="60"/>
      <c r="W35" s="71"/>
      <c r="Y35" t="str">
        <v xml:space="preserve"> 1/2 kg de jamaica de queso blanco</v>
      </c>
      <c r="Z35" t="s">
        <v>931</v>
      </c>
    </row>
    <row r="36" spans="2:26" x14ac:dyDescent="0.25">
      <c r="B36" s="70" t="s">
        <v>649</v>
      </c>
      <c r="C36" s="67">
        <f>COUNTIF(Tabla1[Pedido],Productos_frec_tabla[[#This Row],[Productoos]])</f>
        <v>0</v>
      </c>
      <c r="D36" s="67" t="str">
        <f>PROPER(Productos_frec_tabla[[#This Row],[Productoos]])</f>
        <v>Coca De 1.75</v>
      </c>
      <c r="E36" s="67" t="str">
        <f>PROPER(Productos_frec_tabla[[#This Row],[Productoos]])</f>
        <v>Coca De 1.75</v>
      </c>
      <c r="F36" s="67">
        <f>COUNTIF(Productos_frec_tabla[Columna1],Productos_frec_tabla[[#This Row],[Columna12]])</f>
        <v>3</v>
      </c>
      <c r="I36" s="66" t="s">
        <v>499</v>
      </c>
      <c r="J36" s="60" t="s">
        <v>887</v>
      </c>
      <c r="K36" s="60" t="s">
        <v>500</v>
      </c>
      <c r="L36" s="60"/>
      <c r="M36" s="60"/>
      <c r="N36" s="60"/>
      <c r="O36" s="60"/>
      <c r="P36" s="60"/>
      <c r="Q36" s="60"/>
      <c r="R36" s="60"/>
      <c r="S36" s="60"/>
      <c r="T36" s="71"/>
      <c r="U36" s="66" t="s">
        <v>499</v>
      </c>
      <c r="V36" s="60"/>
      <c r="W36" s="71"/>
      <c r="Y36" t="str">
        <v xml:space="preserve"> 1/2 kg de jamon</v>
      </c>
      <c r="Z36" t="s">
        <v>949</v>
      </c>
    </row>
    <row r="37" spans="2:26" x14ac:dyDescent="0.25">
      <c r="B37" s="70" t="s">
        <v>524</v>
      </c>
      <c r="C37" s="67">
        <f>COUNTIF(Tabla1[Pedido],Productos_frec_tabla[[#This Row],[Productoos]])</f>
        <v>0</v>
      </c>
      <c r="D37" s="67" t="str">
        <f>PROPER(Productos_frec_tabla[[#This Row],[Productoos]])</f>
        <v xml:space="preserve">Dos Cebollas </v>
      </c>
      <c r="E37" s="67" t="str">
        <f>PROPER(Productos_frec_tabla[[#This Row],[Productoos]])</f>
        <v xml:space="preserve">Dos Cebollas </v>
      </c>
      <c r="F37" s="67">
        <f>COUNTIF(Productos_frec_tabla[Columna1],Productos_frec_tabla[[#This Row],[Columna12]])</f>
        <v>2</v>
      </c>
      <c r="I37" s="66" t="s">
        <v>294</v>
      </c>
      <c r="J37" s="60"/>
      <c r="K37" s="60"/>
      <c r="L37" s="60"/>
      <c r="M37" s="60"/>
      <c r="N37" s="60"/>
      <c r="O37" s="60"/>
      <c r="P37" s="60"/>
      <c r="Q37" s="60"/>
      <c r="R37" s="60"/>
      <c r="S37" s="60"/>
      <c r="T37" s="71"/>
      <c r="U37" s="66" t="s">
        <v>294</v>
      </c>
      <c r="V37" s="60"/>
      <c r="W37" s="71"/>
      <c r="Y37" t="str">
        <v>1 kg de huevo</v>
      </c>
      <c r="Z37" t="s">
        <v>950</v>
      </c>
    </row>
    <row r="38" spans="2:26" x14ac:dyDescent="0.25">
      <c r="B38" s="70" t="s">
        <v>524</v>
      </c>
      <c r="C38" s="67">
        <f>COUNTIF(Tabla1[Pedido],Productos_frec_tabla[[#This Row],[Productoos]])</f>
        <v>0</v>
      </c>
      <c r="D38" s="67" t="str">
        <f>PROPER(Productos_frec_tabla[[#This Row],[Productoos]])</f>
        <v xml:space="preserve">Dos Cebollas </v>
      </c>
      <c r="E38" s="67" t="str">
        <f>PROPER(Productos_frec_tabla[[#This Row],[Productoos]])</f>
        <v xml:space="preserve">Dos Cebollas </v>
      </c>
      <c r="F38" s="67">
        <f>COUNTIF(Productos_frec_tabla[Columna1],Productos_frec_tabla[[#This Row],[Columna12]])</f>
        <v>2</v>
      </c>
      <c r="I38" s="66" t="s">
        <v>501</v>
      </c>
      <c r="J38" s="60" t="s">
        <v>888</v>
      </c>
      <c r="K38" s="60" t="s">
        <v>889</v>
      </c>
      <c r="L38" s="60"/>
      <c r="M38" s="60"/>
      <c r="N38" s="60"/>
      <c r="O38" s="60"/>
      <c r="P38" s="60"/>
      <c r="Q38" s="60"/>
      <c r="R38" s="60"/>
      <c r="S38" s="60"/>
      <c r="T38" s="71"/>
      <c r="U38" s="66" t="s">
        <v>501</v>
      </c>
      <c r="V38" s="60"/>
      <c r="W38" s="71"/>
      <c r="Y38" t="str">
        <v xml:space="preserve"> 1/2 kg de jamon y de queso oaxaca</v>
      </c>
      <c r="Z38" t="s">
        <v>940</v>
      </c>
    </row>
    <row r="39" spans="2:26" x14ac:dyDescent="0.25">
      <c r="B39" s="68" t="s">
        <v>612</v>
      </c>
      <c r="C39" s="67">
        <f>COUNTIF(Tabla1[Pedido],Productos_frec_tabla[[#This Row],[Productoos]])</f>
        <v>0</v>
      </c>
      <c r="D39" s="67" t="str">
        <f>PROPER(Productos_frec_tabla[[#This Row],[Productoos]])</f>
        <v>Garrafon De Bonafont</v>
      </c>
      <c r="E39" s="67" t="str">
        <f>PROPER(Productos_frec_tabla[[#This Row],[Productoos]])</f>
        <v>Garrafon De Bonafont</v>
      </c>
      <c r="F39" s="67">
        <f>COUNTIF(Productos_frec_tabla[Columna1],Productos_frec_tabla[[#This Row],[Columna12]])</f>
        <v>2</v>
      </c>
      <c r="I39" s="66" t="s">
        <v>502</v>
      </c>
      <c r="J39" s="60" t="s">
        <v>503</v>
      </c>
      <c r="K39" s="60"/>
      <c r="L39" s="60"/>
      <c r="M39" s="60"/>
      <c r="N39" s="60"/>
      <c r="O39" s="60"/>
      <c r="P39" s="60"/>
      <c r="Q39" s="60"/>
      <c r="R39" s="60"/>
      <c r="S39" s="60"/>
      <c r="T39" s="71"/>
      <c r="U39" s="66" t="s">
        <v>502</v>
      </c>
      <c r="V39" s="60"/>
      <c r="W39" s="71"/>
      <c r="Y39" t="str">
        <v xml:space="preserve">1/2 kd de queso </v>
      </c>
      <c r="Z39" t="s">
        <v>952</v>
      </c>
    </row>
    <row r="40" spans="2:26" x14ac:dyDescent="0.25">
      <c r="B40" s="68" t="s">
        <v>612</v>
      </c>
      <c r="C40" s="67">
        <f>COUNTIF(Tabla1[Pedido],Productos_frec_tabla[[#This Row],[Productoos]])</f>
        <v>0</v>
      </c>
      <c r="D40" s="67" t="str">
        <f>PROPER(Productos_frec_tabla[[#This Row],[Productoos]])</f>
        <v>Garrafon De Bonafont</v>
      </c>
      <c r="E40" s="67" t="str">
        <f>PROPER(Productos_frec_tabla[[#This Row],[Productoos]])</f>
        <v>Garrafon De Bonafont</v>
      </c>
      <c r="F40" s="67">
        <f>COUNTIF(Productos_frec_tabla[Columna1],Productos_frec_tabla[[#This Row],[Columna12]])</f>
        <v>2</v>
      </c>
      <c r="I40" s="66" t="s">
        <v>504</v>
      </c>
      <c r="J40" s="60" t="s">
        <v>505</v>
      </c>
      <c r="K40" s="60" t="s">
        <v>53</v>
      </c>
      <c r="L40" s="60"/>
      <c r="M40" s="60"/>
      <c r="N40" s="60"/>
      <c r="O40" s="60"/>
      <c r="P40" s="60"/>
      <c r="Q40" s="60"/>
      <c r="R40" s="60"/>
      <c r="S40" s="60"/>
      <c r="T40" s="71"/>
      <c r="U40" s="66" t="s">
        <v>504</v>
      </c>
      <c r="V40" s="60"/>
      <c r="W40" s="71"/>
      <c r="Y40" t="str">
        <v>1 pan tostado</v>
      </c>
      <c r="Z40" t="s">
        <v>951</v>
      </c>
    </row>
    <row r="41" spans="2:26" x14ac:dyDescent="0.25">
      <c r="B41" s="70" t="s">
        <v>668</v>
      </c>
      <c r="C41" s="67">
        <f>COUNTIF(Tabla1[Pedido],Productos_frec_tabla[[#This Row],[Productoos]])</f>
        <v>0</v>
      </c>
      <c r="D41" s="67" t="str">
        <f>PROPER(Productos_frec_tabla[[#This Row],[Productoos]])</f>
        <v>Lata De Frijoles Refritos Negros.</v>
      </c>
      <c r="E41" s="67" t="str">
        <f>PROPER(Productos_frec_tabla[[#This Row],[Productoos]])</f>
        <v>Lata De Frijoles Refritos Negros.</v>
      </c>
      <c r="F41" s="67">
        <f>COUNTIF(Productos_frec_tabla[Columna1],Productos_frec_tabla[[#This Row],[Columna12]])</f>
        <v>2</v>
      </c>
      <c r="G41" t="s">
        <v>512</v>
      </c>
      <c r="I41" s="66" t="s">
        <v>506</v>
      </c>
      <c r="J41" s="60" t="s">
        <v>507</v>
      </c>
      <c r="K41" s="60" t="s">
        <v>508</v>
      </c>
      <c r="L41" s="60" t="s">
        <v>509</v>
      </c>
      <c r="M41" s="60" t="s">
        <v>510</v>
      </c>
      <c r="N41" s="60" t="s">
        <v>511</v>
      </c>
      <c r="O41" s="60" t="s">
        <v>512</v>
      </c>
      <c r="P41" s="60"/>
      <c r="Q41" s="60"/>
      <c r="R41" s="60"/>
      <c r="S41" s="60"/>
      <c r="T41" s="71"/>
      <c r="U41" s="66" t="s">
        <v>506</v>
      </c>
      <c r="V41" s="60"/>
      <c r="W41" s="71"/>
      <c r="Y41" t="str">
        <v xml:space="preserve"> 1/2 kg de zanahoria 1/2 de tortillas </v>
      </c>
      <c r="Z41" t="s">
        <v>941</v>
      </c>
    </row>
    <row r="42" spans="2:26" x14ac:dyDescent="0.25">
      <c r="B42" s="70" t="s">
        <v>668</v>
      </c>
      <c r="C42" s="67">
        <f>COUNTIF(Tabla1[Pedido],Productos_frec_tabla[[#This Row],[Productoos]])</f>
        <v>0</v>
      </c>
      <c r="D42" s="67" t="str">
        <f>PROPER(Productos_frec_tabla[[#This Row],[Productoos]])</f>
        <v>Lata De Frijoles Refritos Negros.</v>
      </c>
      <c r="E42" s="67" t="str">
        <f>PROPER(Productos_frec_tabla[[#This Row],[Productoos]])</f>
        <v>Lata De Frijoles Refritos Negros.</v>
      </c>
      <c r="F42" s="67">
        <f>COUNTIF(Productos_frec_tabla[Columna1],Productos_frec_tabla[[#This Row],[Columna12]])</f>
        <v>2</v>
      </c>
      <c r="I42" s="66" t="s">
        <v>849</v>
      </c>
      <c r="J42" s="60" t="s">
        <v>513</v>
      </c>
      <c r="K42" s="60" t="s">
        <v>850</v>
      </c>
      <c r="L42" s="60" t="s">
        <v>851</v>
      </c>
      <c r="M42" s="60" t="s">
        <v>514</v>
      </c>
      <c r="N42" s="60" t="s">
        <v>515</v>
      </c>
      <c r="O42" s="60" t="s">
        <v>516</v>
      </c>
      <c r="P42" s="60" t="s">
        <v>852</v>
      </c>
      <c r="Q42" s="60"/>
      <c r="R42" s="60"/>
      <c r="S42" s="60"/>
      <c r="T42" s="71"/>
      <c r="U42" s="66" t="s">
        <v>849</v>
      </c>
      <c r="V42" s="60"/>
      <c r="W42" s="71"/>
      <c r="Y42" t="str">
        <v xml:space="preserve"> 1de jamon</v>
      </c>
      <c r="Z42" t="s">
        <v>728</v>
      </c>
    </row>
    <row r="43" spans="2:26" x14ac:dyDescent="0.25">
      <c r="B43" s="70" t="s">
        <v>634</v>
      </c>
      <c r="C43" s="67">
        <f>COUNTIF(Tabla1[Pedido],Productos_frec_tabla[[#This Row],[Productoos]])</f>
        <v>0</v>
      </c>
      <c r="D43" s="67" t="str">
        <f>PROPER(Productos_frec_tabla[[#This Row],[Productoos]])</f>
        <v xml:space="preserve">Lata De Piña En Almibar </v>
      </c>
      <c r="E43" s="67" t="str">
        <f>PROPER(Productos_frec_tabla[[#This Row],[Productoos]])</f>
        <v xml:space="preserve">Lata De Piña En Almibar </v>
      </c>
      <c r="F43" s="67">
        <f>COUNTIF(Productos_frec_tabla[Columna1],Productos_frec_tabla[[#This Row],[Columna12]])</f>
        <v>2</v>
      </c>
      <c r="I43" s="66" t="s">
        <v>302</v>
      </c>
      <c r="J43" s="60"/>
      <c r="K43" s="60"/>
      <c r="L43" s="60"/>
      <c r="M43" s="60"/>
      <c r="N43" s="60"/>
      <c r="O43" s="60"/>
      <c r="P43" s="60"/>
      <c r="Q43" s="60"/>
      <c r="R43" s="60"/>
      <c r="S43" s="60"/>
      <c r="T43" s="71"/>
      <c r="U43" s="66" t="s">
        <v>302</v>
      </c>
      <c r="V43" s="60"/>
      <c r="W43" s="71"/>
      <c r="Y43" t="str">
        <v xml:space="preserve"> 1de tortillas</v>
      </c>
      <c r="Z43" t="s">
        <v>732</v>
      </c>
    </row>
    <row r="44" spans="2:26" x14ac:dyDescent="0.25">
      <c r="B44" s="70" t="s">
        <v>634</v>
      </c>
      <c r="C44" s="67">
        <f>COUNTIF(Tabla1[Pedido],Productos_frec_tabla[[#This Row],[Productoos]])</f>
        <v>0</v>
      </c>
      <c r="D44" s="67" t="str">
        <f>PROPER(Productos_frec_tabla[[#This Row],[Productoos]])</f>
        <v xml:space="preserve">Lata De Piña En Almibar </v>
      </c>
      <c r="E44" s="67" t="str">
        <f>PROPER(Productos_frec_tabla[[#This Row],[Productoos]])</f>
        <v xml:space="preserve">Lata De Piña En Almibar </v>
      </c>
      <c r="F44" s="67">
        <f>COUNTIF(Productos_frec_tabla[Columna1],Productos_frec_tabla[[#This Row],[Columna12]])</f>
        <v>2</v>
      </c>
      <c r="I44" s="66" t="s">
        <v>303</v>
      </c>
      <c r="J44" s="60"/>
      <c r="K44" s="60"/>
      <c r="L44" s="60"/>
      <c r="M44" s="60"/>
      <c r="N44" s="60"/>
      <c r="O44" s="60"/>
      <c r="P44" s="60"/>
      <c r="Q44" s="60"/>
      <c r="R44" s="60"/>
      <c r="S44" s="60"/>
      <c r="T44" s="71"/>
      <c r="U44" s="66" t="s">
        <v>303</v>
      </c>
      <c r="V44" s="60"/>
      <c r="W44" s="71"/>
      <c r="Y44" t="str">
        <v xml:space="preserve"> 1kg DE Tortillas </v>
      </c>
      <c r="Z44" t="s">
        <v>675</v>
      </c>
    </row>
    <row r="45" spans="2:26" x14ac:dyDescent="0.25">
      <c r="B45" s="68" t="s">
        <v>752</v>
      </c>
      <c r="C45" s="67">
        <f>COUNTIF(Tabla1[Pedido],Productos_frec_tabla[[#This Row],[Productoos]])</f>
        <v>0</v>
      </c>
      <c r="D45" s="67" t="str">
        <f>PROPER(Productos_frec_tabla[[#This Row],[Productoos]])</f>
        <v xml:space="preserve">Sprite De 600 Ml </v>
      </c>
      <c r="E45" s="67" t="str">
        <f>PROPER(Productos_frec_tabla[[#This Row],[Productoos]])</f>
        <v xml:space="preserve">Sprite De 600 Ml </v>
      </c>
      <c r="F45" s="67">
        <f>COUNTIF(Productos_frec_tabla[Columna1],Productos_frec_tabla[[#This Row],[Columna12]])</f>
        <v>2</v>
      </c>
      <c r="I45" s="66" t="s">
        <v>305</v>
      </c>
      <c r="J45" s="60"/>
      <c r="K45" s="60"/>
      <c r="L45" s="60"/>
      <c r="M45" s="60"/>
      <c r="N45" s="60"/>
      <c r="O45" s="60"/>
      <c r="P45" s="60"/>
      <c r="Q45" s="60"/>
      <c r="R45" s="60"/>
      <c r="S45" s="60"/>
      <c r="T45" s="71"/>
      <c r="U45" s="66" t="s">
        <v>305</v>
      </c>
      <c r="V45" s="60"/>
      <c r="W45" s="71"/>
      <c r="Y45" t="str">
        <v xml:space="preserve"> 2de jamon</v>
      </c>
      <c r="Z45" t="s">
        <v>727</v>
      </c>
    </row>
    <row r="46" spans="2:26" x14ac:dyDescent="0.25">
      <c r="B46" s="68" t="s">
        <v>752</v>
      </c>
      <c r="C46" s="67">
        <f>COUNTIF(Tabla1[Pedido],Productos_frec_tabla[[#This Row],[Productoos]])</f>
        <v>0</v>
      </c>
      <c r="D46" s="67" t="str">
        <f>PROPER(Productos_frec_tabla[[#This Row],[Productoos]])</f>
        <v xml:space="preserve">Sprite De 600 Ml </v>
      </c>
      <c r="E46" s="67" t="str">
        <f>PROPER(Productos_frec_tabla[[#This Row],[Productoos]])</f>
        <v xml:space="preserve">Sprite De 600 Ml </v>
      </c>
      <c r="F46" s="67">
        <f>COUNTIF(Productos_frec_tabla[Columna1],Productos_frec_tabla[[#This Row],[Columna12]])</f>
        <v>2</v>
      </c>
      <c r="I46" s="66" t="s">
        <v>830</v>
      </c>
      <c r="J46" s="60"/>
      <c r="K46" s="60"/>
      <c r="L46" s="60"/>
      <c r="M46" s="60"/>
      <c r="N46" s="60"/>
      <c r="O46" s="60"/>
      <c r="P46" s="60"/>
      <c r="Q46" s="60"/>
      <c r="R46" s="60"/>
      <c r="S46" s="60"/>
      <c r="T46" s="71"/>
      <c r="U46" s="66" t="s">
        <v>594</v>
      </c>
      <c r="V46" s="60" t="s">
        <v>595</v>
      </c>
      <c r="W46" s="71" t="s">
        <v>596</v>
      </c>
      <c r="Y46" t="str">
        <v xml:space="preserve"> 40 de uvas</v>
      </c>
      <c r="Z46" t="s">
        <v>548</v>
      </c>
    </row>
    <row r="47" spans="2:26" x14ac:dyDescent="0.25">
      <c r="B47" s="70" t="s">
        <v>921</v>
      </c>
      <c r="C47" s="67">
        <f>COUNTIF(Tabla1[Pedido],Productos_frec_tabla[[#This Row],[Productoos]])</f>
        <v>0</v>
      </c>
      <c r="D47" s="67" t="str">
        <f>PROPER(Productos_frec_tabla[[#This Row],[Productoos]])</f>
        <v xml:space="preserve">Tortillas De Harina </v>
      </c>
      <c r="E47" s="67" t="str">
        <f>PROPER(Productos_frec_tabla[[#This Row],[Productoos]])</f>
        <v xml:space="preserve">Tortillas De Harina </v>
      </c>
      <c r="F47" s="67">
        <f>COUNTIF(Productos_frec_tabla[Columna1],Productos_frec_tabla[[#This Row],[Columna12]])</f>
        <v>2</v>
      </c>
      <c r="I47" s="66" t="s">
        <v>831</v>
      </c>
      <c r="J47" s="60"/>
      <c r="K47" s="60"/>
      <c r="L47" s="60"/>
      <c r="M47" s="60"/>
      <c r="N47" s="60"/>
      <c r="O47" s="60"/>
      <c r="P47" s="60"/>
      <c r="Q47" s="60"/>
      <c r="R47" s="60"/>
      <c r="S47" s="60"/>
      <c r="T47" s="71"/>
      <c r="U47" s="66"/>
      <c r="V47" s="60"/>
      <c r="W47" s="71"/>
      <c r="Y47" t="str">
        <v xml:space="preserve"> agucate</v>
      </c>
      <c r="Z47" t="s">
        <v>632</v>
      </c>
    </row>
    <row r="48" spans="2:26" x14ac:dyDescent="0.25">
      <c r="B48" s="70" t="s">
        <v>921</v>
      </c>
      <c r="C48" s="67">
        <f>COUNTIF(Tabla1[Pedido],Productos_frec_tabla[[#This Row],[Productoos]])</f>
        <v>0</v>
      </c>
      <c r="D48" s="67" t="str">
        <f>PROPER(Productos_frec_tabla[[#This Row],[Productoos]])</f>
        <v xml:space="preserve">Tortillas De Harina </v>
      </c>
      <c r="E48" s="67" t="str">
        <f>PROPER(Productos_frec_tabla[[#This Row],[Productoos]])</f>
        <v xml:space="preserve">Tortillas De Harina </v>
      </c>
      <c r="F48" s="67">
        <f>COUNTIF(Productos_frec_tabla[Columna1],Productos_frec_tabla[[#This Row],[Columna12]])</f>
        <v>2</v>
      </c>
      <c r="I48" s="66" t="s">
        <v>517</v>
      </c>
      <c r="J48" s="60" t="s">
        <v>518</v>
      </c>
      <c r="K48" s="60"/>
      <c r="L48" s="60"/>
      <c r="M48" s="60"/>
      <c r="N48" s="60"/>
      <c r="O48" s="60"/>
      <c r="P48" s="60"/>
      <c r="Q48" s="60"/>
      <c r="R48" s="60"/>
      <c r="S48" s="60"/>
      <c r="T48" s="71"/>
      <c r="U48" s="66" t="s">
        <v>517</v>
      </c>
      <c r="V48" s="60"/>
      <c r="W48" s="71"/>
      <c r="Y48" t="str">
        <v xml:space="preserve"> arroz</v>
      </c>
      <c r="Z48" t="s">
        <v>763</v>
      </c>
    </row>
    <row r="49" spans="2:26" x14ac:dyDescent="0.25">
      <c r="B49" s="70" t="s">
        <v>935</v>
      </c>
      <c r="C49" s="67">
        <f>COUNTIF(Tabla1[Pedido],Productos_frec_tabla[[#This Row],[Productoos]])</f>
        <v>0</v>
      </c>
      <c r="D49" s="67" t="str">
        <f>PROPER(Productos_frec_tabla[[#This Row],[Productoos]])</f>
        <v xml:space="preserve">  Bolsas De Regalo Medianas</v>
      </c>
      <c r="E49" s="67" t="str">
        <f>PROPER(Productos_frec_tabla[[#This Row],[Productoos]])</f>
        <v xml:space="preserve">  Bolsas De Regalo Medianas</v>
      </c>
      <c r="F49" s="67">
        <f>COUNTIF(Productos_frec_tabla[Columna1],Productos_frec_tabla[[#This Row],[Columna12]])</f>
        <v>1</v>
      </c>
      <c r="I49" s="66" t="s">
        <v>519</v>
      </c>
      <c r="J49" s="60" t="s">
        <v>890</v>
      </c>
      <c r="K49" s="60" t="s">
        <v>520</v>
      </c>
      <c r="L49" s="60"/>
      <c r="M49" s="60"/>
      <c r="N49" s="60"/>
      <c r="O49" s="60"/>
      <c r="P49" s="60"/>
      <c r="Q49" s="60"/>
      <c r="R49" s="60"/>
      <c r="S49" s="60"/>
      <c r="T49" s="71"/>
      <c r="U49" s="66" t="s">
        <v>519</v>
      </c>
      <c r="V49" s="60"/>
      <c r="W49" s="71"/>
      <c r="Y49" t="str">
        <v xml:space="preserve"> barrita pritt</v>
      </c>
      <c r="Z49" t="s">
        <v>565</v>
      </c>
    </row>
    <row r="50" spans="2:26" x14ac:dyDescent="0.25">
      <c r="B50" s="70" t="s">
        <v>649</v>
      </c>
      <c r="C50" s="67">
        <f>COUNTIF(Tabla1[Pedido],Productos_frec_tabla[[#This Row],[Productoos]])</f>
        <v>0</v>
      </c>
      <c r="D50" s="67" t="str">
        <f>PROPER(Productos_frec_tabla[[#This Row],[Productoos]])</f>
        <v>Coca De 1.75</v>
      </c>
      <c r="E50" s="67" t="str">
        <f>PROPER(Productos_frec_tabla[[#This Row],[Productoos]])</f>
        <v>Coca De 1.75</v>
      </c>
      <c r="F50" s="67">
        <f>COUNTIF(Productos_frec_tabla[Columna1],Productos_frec_tabla[[#This Row],[Columna12]])</f>
        <v>3</v>
      </c>
      <c r="I50" s="66" t="s">
        <v>521</v>
      </c>
      <c r="J50" s="60" t="s">
        <v>522</v>
      </c>
      <c r="K50" s="60" t="s">
        <v>491</v>
      </c>
      <c r="L50" s="60" t="s">
        <v>891</v>
      </c>
      <c r="M50" s="60"/>
      <c r="N50" s="60"/>
      <c r="O50" s="60"/>
      <c r="P50" s="60"/>
      <c r="Q50" s="60"/>
      <c r="R50" s="60"/>
      <c r="S50" s="60"/>
      <c r="T50" s="71"/>
      <c r="U50" s="66" t="s">
        <v>521</v>
      </c>
      <c r="V50" s="60"/>
      <c r="W50" s="71"/>
      <c r="Y50" t="str">
        <v xml:space="preserve"> barritas de piña</v>
      </c>
      <c r="Z50" t="s">
        <v>706</v>
      </c>
    </row>
    <row r="51" spans="2:26" x14ac:dyDescent="0.25">
      <c r="B51" s="70" t="s">
        <v>709</v>
      </c>
      <c r="C51" s="67">
        <f>COUNTIF(Tabla1[Pedido],Productos_frec_tabla[[#This Row],[Productoos]])</f>
        <v>0</v>
      </c>
      <c r="D51" s="67" t="str">
        <f>PROPER(Productos_frec_tabla[[#This Row],[Productoos]])</f>
        <v xml:space="preserve">  Cocas Reto De 3L</v>
      </c>
      <c r="E51" s="67" t="str">
        <f>PROPER(Productos_frec_tabla[[#This Row],[Productoos]])</f>
        <v xml:space="preserve">  Cocas Reto De 3L</v>
      </c>
      <c r="F51" s="67">
        <f>COUNTIF(Productos_frec_tabla[Columna1],Productos_frec_tabla[[#This Row],[Columna12]])</f>
        <v>1</v>
      </c>
      <c r="I51" s="66" t="s">
        <v>853</v>
      </c>
      <c r="J51" s="60"/>
      <c r="K51" s="60"/>
      <c r="L51" s="60"/>
      <c r="M51" s="60"/>
      <c r="N51" s="60"/>
      <c r="O51" s="60"/>
      <c r="P51" s="60"/>
      <c r="Q51" s="60"/>
      <c r="R51" s="60"/>
      <c r="S51" s="60"/>
      <c r="T51" s="71"/>
      <c r="U51" s="66" t="s">
        <v>853</v>
      </c>
      <c r="V51" s="60"/>
      <c r="W51" s="71"/>
      <c r="Y51" t="str">
        <v xml:space="preserve"> basos del ny bolsa de hielos </v>
      </c>
      <c r="Z51" t="s">
        <v>737</v>
      </c>
    </row>
    <row r="52" spans="2:26" x14ac:dyDescent="0.25">
      <c r="B52" s="70" t="s">
        <v>692</v>
      </c>
      <c r="C52" s="67">
        <f>COUNTIF(Tabla1[Pedido],Productos_frec_tabla[[#This Row],[Productoos]])</f>
        <v>0</v>
      </c>
      <c r="D52" s="67" t="str">
        <f>PROPER(Productos_frec_tabla[[#This Row],[Productoos]])</f>
        <v xml:space="preserve">  Cocas Sin Azucar</v>
      </c>
      <c r="E52" s="67" t="str">
        <f>PROPER(Productos_frec_tabla[[#This Row],[Productoos]])</f>
        <v xml:space="preserve">  Cocas Sin Azucar</v>
      </c>
      <c r="F52" s="67">
        <f>COUNTIF(Productos_frec_tabla[Columna1],Productos_frec_tabla[[#This Row],[Columna12]])</f>
        <v>1</v>
      </c>
      <c r="I52" s="66" t="s">
        <v>314</v>
      </c>
      <c r="J52" s="60"/>
      <c r="K52" s="60"/>
      <c r="L52" s="60"/>
      <c r="M52" s="60"/>
      <c r="N52" s="60"/>
      <c r="O52" s="60"/>
      <c r="P52" s="60"/>
      <c r="Q52" s="60"/>
      <c r="R52" s="60"/>
      <c r="S52" s="60"/>
      <c r="T52" s="71"/>
      <c r="U52" s="66" t="s">
        <v>314</v>
      </c>
      <c r="V52" s="60"/>
      <c r="W52" s="71"/>
      <c r="Y52" t="str">
        <v xml:space="preserve"> bolillos</v>
      </c>
      <c r="Z52" t="s">
        <v>563</v>
      </c>
    </row>
    <row r="53" spans="2:26" x14ac:dyDescent="0.25">
      <c r="B53" s="70" t="s">
        <v>697</v>
      </c>
      <c r="C53" s="67">
        <f>COUNTIF(Tabla1[Pedido],Productos_frec_tabla[[#This Row],[Productoos]])</f>
        <v>0</v>
      </c>
      <c r="D53" s="67" t="str">
        <f>PROPER(Productos_frec_tabla[[#This Row],[Productoos]])</f>
        <v xml:space="preserve">  Doraditas</v>
      </c>
      <c r="E53" s="67" t="str">
        <f>PROPER(Productos_frec_tabla[[#This Row],[Productoos]])</f>
        <v xml:space="preserve">  Doraditas</v>
      </c>
      <c r="F53" s="67">
        <f>COUNTIF(Productos_frec_tabla[Columna1],Productos_frec_tabla[[#This Row],[Columna12]])</f>
        <v>1</v>
      </c>
      <c r="I53" s="66" t="s">
        <v>315</v>
      </c>
      <c r="J53" s="60"/>
      <c r="K53" s="60"/>
      <c r="L53" s="60"/>
      <c r="M53" s="60"/>
      <c r="N53" s="60"/>
      <c r="O53" s="60"/>
      <c r="P53" s="60"/>
      <c r="Q53" s="60"/>
      <c r="R53" s="60"/>
      <c r="S53" s="60"/>
      <c r="T53" s="71"/>
      <c r="U53" s="66" t="s">
        <v>315</v>
      </c>
      <c r="V53" s="60"/>
      <c r="W53" s="71"/>
      <c r="Y53" t="str">
        <v xml:space="preserve"> bolsas de pozole</v>
      </c>
      <c r="Z53" t="s">
        <v>685</v>
      </c>
    </row>
    <row r="54" spans="2:26" x14ac:dyDescent="0.25">
      <c r="B54" s="70" t="s">
        <v>701</v>
      </c>
      <c r="C54" s="67">
        <f>COUNTIF(Tabla1[Pedido],Productos_frec_tabla[[#This Row],[Productoos]])</f>
        <v>0</v>
      </c>
      <c r="D54" s="67" t="str">
        <f>PROPER(Productos_frec_tabla[[#This Row],[Productoos]])</f>
        <v xml:space="preserve">  Doritos Nacho </v>
      </c>
      <c r="E54" s="67" t="str">
        <f>PROPER(Productos_frec_tabla[[#This Row],[Productoos]])</f>
        <v xml:space="preserve">  Doritos Nacho </v>
      </c>
      <c r="F54" s="67">
        <f>COUNTIF(Productos_frec_tabla[Columna1],Productos_frec_tabla[[#This Row],[Columna12]])</f>
        <v>1</v>
      </c>
      <c r="I54" s="66" t="s">
        <v>854</v>
      </c>
      <c r="J54" s="60" t="s">
        <v>523</v>
      </c>
      <c r="K54" s="60" t="s">
        <v>524</v>
      </c>
      <c r="L54" s="60"/>
      <c r="M54" s="60"/>
      <c r="N54" s="60"/>
      <c r="O54" s="60"/>
      <c r="P54" s="60"/>
      <c r="Q54" s="60"/>
      <c r="R54" s="60"/>
      <c r="S54" s="60"/>
      <c r="T54" s="71"/>
      <c r="U54" s="66" t="s">
        <v>854</v>
      </c>
      <c r="V54" s="60"/>
      <c r="W54" s="71"/>
      <c r="Y54" t="str">
        <v xml:space="preserve"> botes de spagueti</v>
      </c>
      <c r="Z54" t="s">
        <v>708</v>
      </c>
    </row>
    <row r="55" spans="2:26" x14ac:dyDescent="0.25">
      <c r="B55" s="70" t="s">
        <v>694</v>
      </c>
      <c r="C55" s="67">
        <f>COUNTIF(Tabla1[Pedido],Productos_frec_tabla[[#This Row],[Productoos]])</f>
        <v>0</v>
      </c>
      <c r="D55" s="67" t="str">
        <f>PROPER(Productos_frec_tabla[[#This Row],[Productoos]])</f>
        <v xml:space="preserve">  Gelatinas</v>
      </c>
      <c r="E55" s="67" t="str">
        <f>PROPER(Productos_frec_tabla[[#This Row],[Productoos]])</f>
        <v xml:space="preserve">  Gelatinas</v>
      </c>
      <c r="F55" s="67">
        <f>COUNTIF(Productos_frec_tabla[Columna1],Productos_frec_tabla[[#This Row],[Columna12]])</f>
        <v>1</v>
      </c>
      <c r="I55" s="66" t="s">
        <v>525</v>
      </c>
      <c r="J55" s="60" t="s">
        <v>526</v>
      </c>
      <c r="K55" s="60" t="s">
        <v>527</v>
      </c>
      <c r="L55" s="60" t="s">
        <v>528</v>
      </c>
      <c r="M55" s="60" t="s">
        <v>529</v>
      </c>
      <c r="N55" s="60" t="s">
        <v>530</v>
      </c>
      <c r="O55" s="60"/>
      <c r="P55" s="60"/>
      <c r="Q55" s="60"/>
      <c r="R55" s="60"/>
      <c r="S55" s="60"/>
      <c r="T55" s="71"/>
      <c r="U55" s="66" t="s">
        <v>525</v>
      </c>
      <c r="V55" s="60"/>
      <c r="W55" s="71"/>
      <c r="Y55" t="str">
        <v xml:space="preserve"> caja de malboro</v>
      </c>
      <c r="Z55" t="s">
        <v>662</v>
      </c>
    </row>
    <row r="56" spans="2:26" x14ac:dyDescent="0.25">
      <c r="B56" s="70" t="s">
        <v>707</v>
      </c>
      <c r="C56" s="67">
        <f>COUNTIF(Tabla1[Pedido],Productos_frec_tabla[[#This Row],[Productoos]])</f>
        <v>0</v>
      </c>
      <c r="D56" s="67" t="str">
        <f>PROPER(Productos_frec_tabla[[#This Row],[Productoos]])</f>
        <v xml:space="preserve">  Gelatinas Gari</v>
      </c>
      <c r="E56" s="67" t="str">
        <f>PROPER(Productos_frec_tabla[[#This Row],[Productoos]])</f>
        <v xml:space="preserve">  Gelatinas Gari</v>
      </c>
      <c r="F56" s="67">
        <f>COUNTIF(Productos_frec_tabla[Columna1],Productos_frec_tabla[[#This Row],[Columna12]])</f>
        <v>1</v>
      </c>
      <c r="I56" s="66" t="s">
        <v>190</v>
      </c>
      <c r="J56" s="60"/>
      <c r="K56" s="60"/>
      <c r="L56" s="60"/>
      <c r="M56" s="60"/>
      <c r="N56" s="60"/>
      <c r="O56" s="60"/>
      <c r="P56" s="60"/>
      <c r="Q56" s="60"/>
      <c r="R56" s="60"/>
      <c r="S56" s="60"/>
      <c r="T56" s="71"/>
      <c r="U56" s="66" t="s">
        <v>597</v>
      </c>
      <c r="V56" s="60" t="s">
        <v>598</v>
      </c>
      <c r="W56" s="71"/>
      <c r="Y56" t="str">
        <v xml:space="preserve"> cajas lucky suaves </v>
      </c>
      <c r="Z56" t="s">
        <v>689</v>
      </c>
    </row>
    <row r="57" spans="2:26" x14ac:dyDescent="0.25">
      <c r="B57" s="70" t="s">
        <v>945</v>
      </c>
      <c r="C57" s="67">
        <f>COUNTIF(Tabla1[Pedido],Productos_frec_tabla[[#This Row],[Productoos]])</f>
        <v>0</v>
      </c>
      <c r="D57" s="67" t="str">
        <f>PROPER(Productos_frec_tabla[[#This Row],[Productoos]])</f>
        <v xml:space="preserve"> 1 Marlboro Rojos </v>
      </c>
      <c r="E57" s="67" t="str">
        <f>PROPER(Productos_frec_tabla[[#This Row],[Productoos]])</f>
        <v xml:space="preserve"> 1 Marlboro Rojos </v>
      </c>
      <c r="F57" s="67">
        <f>COUNTIF(Productos_frec_tabla[Columna1],Productos_frec_tabla[[#This Row],[Columna12]])</f>
        <v>1</v>
      </c>
      <c r="I57" s="66" t="s">
        <v>854</v>
      </c>
      <c r="J57" s="60" t="s">
        <v>523</v>
      </c>
      <c r="K57" s="60" t="s">
        <v>524</v>
      </c>
      <c r="L57" s="60"/>
      <c r="M57" s="60"/>
      <c r="N57" s="60"/>
      <c r="O57" s="60"/>
      <c r="P57" s="60"/>
      <c r="Q57" s="60"/>
      <c r="R57" s="60"/>
      <c r="S57" s="60"/>
      <c r="T57" s="71"/>
      <c r="U57" s="66" t="s">
        <v>854</v>
      </c>
      <c r="V57" s="60"/>
      <c r="W57" s="71"/>
      <c r="Y57" t="str">
        <v xml:space="preserve"> caldo de pollo</v>
      </c>
      <c r="Z57" t="s">
        <v>603</v>
      </c>
    </row>
    <row r="58" spans="2:26" x14ac:dyDescent="0.25">
      <c r="B58" s="70" t="s">
        <v>934</v>
      </c>
      <c r="C58" s="67">
        <f>COUNTIF(Tabla1[Pedido],Productos_frec_tabla[[#This Row],[Productoos]])</f>
        <v>0</v>
      </c>
      <c r="D58" s="67" t="str">
        <f>PROPER(Productos_frec_tabla[[#This Row],[Productoos]])</f>
        <v xml:space="preserve"> 1 Moka Deslactosado Tamaño Grande</v>
      </c>
      <c r="E58" s="67" t="str">
        <f>PROPER(Productos_frec_tabla[[#This Row],[Productoos]])</f>
        <v xml:space="preserve"> 1 Moka Deslactosado Tamaño Grande</v>
      </c>
      <c r="F58" s="67">
        <f>COUNTIF(Productos_frec_tabla[Columna1],Productos_frec_tabla[[#This Row],[Columna12]])</f>
        <v>1</v>
      </c>
      <c r="I58" s="66" t="s">
        <v>525</v>
      </c>
      <c r="J58" s="60" t="s">
        <v>526</v>
      </c>
      <c r="K58" s="60" t="s">
        <v>527</v>
      </c>
      <c r="L58" s="60" t="s">
        <v>528</v>
      </c>
      <c r="M58" s="60" t="s">
        <v>529</v>
      </c>
      <c r="N58" s="60" t="s">
        <v>530</v>
      </c>
      <c r="O58" s="60"/>
      <c r="P58" s="60"/>
      <c r="Q58" s="60"/>
      <c r="R58" s="60"/>
      <c r="S58" s="60"/>
      <c r="T58" s="71"/>
      <c r="U58" s="66" t="s">
        <v>525</v>
      </c>
      <c r="V58" s="60"/>
      <c r="W58" s="71"/>
      <c r="Y58" t="str">
        <v xml:space="preserve"> cereal lfrutloops</v>
      </c>
      <c r="Z58" t="s">
        <v>761</v>
      </c>
    </row>
    <row r="59" spans="2:26" x14ac:dyDescent="0.25">
      <c r="B59" s="70" t="s">
        <v>931</v>
      </c>
      <c r="C59" s="67">
        <f>COUNTIF(Tabla1[Pedido],Productos_frec_tabla[[#This Row],[Productoos]])</f>
        <v>0</v>
      </c>
      <c r="D59" s="67" t="str">
        <f>PROPER(Productos_frec_tabla[[#This Row],[Productoos]])</f>
        <v xml:space="preserve"> 1/2 Kg De Jamaica De Queso Blanco</v>
      </c>
      <c r="E59" s="67" t="str">
        <f>PROPER(Productos_frec_tabla[[#This Row],[Productoos]])</f>
        <v xml:space="preserve"> 1/2 Kg De Jamaica De Queso Blanco</v>
      </c>
      <c r="F59" s="67">
        <f>COUNTIF(Productos_frec_tabla[Columna1],Productos_frec_tabla[[#This Row],[Columna12]])</f>
        <v>1</v>
      </c>
      <c r="I59" s="66" t="s">
        <v>190</v>
      </c>
      <c r="J59" s="60"/>
      <c r="K59" s="60"/>
      <c r="L59" s="60"/>
      <c r="M59" s="60"/>
      <c r="N59" s="60"/>
      <c r="O59" s="60"/>
      <c r="P59" s="60"/>
      <c r="Q59" s="60"/>
      <c r="R59" s="60"/>
      <c r="S59" s="60"/>
      <c r="T59" s="71"/>
      <c r="U59" s="66" t="s">
        <v>597</v>
      </c>
      <c r="V59" s="60" t="s">
        <v>598</v>
      </c>
      <c r="W59" s="71"/>
      <c r="Y59" t="str">
        <v xml:space="preserve"> chetos torciditos rufles doritos </v>
      </c>
      <c r="Z59" t="s">
        <v>651</v>
      </c>
    </row>
    <row r="60" spans="2:26" x14ac:dyDescent="0.25">
      <c r="B60" s="70" t="s">
        <v>949</v>
      </c>
      <c r="C60" s="67">
        <f>COUNTIF(Tabla1[Pedido],Productos_frec_tabla[[#This Row],[Productoos]])</f>
        <v>0</v>
      </c>
      <c r="D60" s="67" t="str">
        <f>PROPER(Productos_frec_tabla[[#This Row],[Productoos]])</f>
        <v xml:space="preserve"> 1/2 Kg De Jamon</v>
      </c>
      <c r="E60" s="67" t="str">
        <f>PROPER(Productos_frec_tabla[[#This Row],[Productoos]])</f>
        <v xml:space="preserve"> 1/2 Kg De Jamon</v>
      </c>
      <c r="F60" s="67">
        <f>COUNTIF(Productos_frec_tabla[Columna1],Productos_frec_tabla[[#This Row],[Columna12]])</f>
        <v>2</v>
      </c>
      <c r="I60" s="66" t="s">
        <v>855</v>
      </c>
      <c r="J60" s="60" t="s">
        <v>892</v>
      </c>
      <c r="K60" s="60" t="s">
        <v>893</v>
      </c>
      <c r="L60" s="60" t="s">
        <v>531</v>
      </c>
      <c r="M60" s="60"/>
      <c r="N60" s="60"/>
      <c r="O60" s="60"/>
      <c r="P60" s="60"/>
      <c r="Q60" s="60"/>
      <c r="R60" s="60"/>
      <c r="S60" s="60"/>
      <c r="T60" s="71"/>
      <c r="U60" s="66" t="s">
        <v>855</v>
      </c>
      <c r="V60" s="60"/>
      <c r="W60" s="71"/>
      <c r="Y60" t="str">
        <v xml:space="preserve"> cinco gelatinas Dani</v>
      </c>
      <c r="Z60" t="s">
        <v>534</v>
      </c>
    </row>
    <row r="61" spans="2:26" x14ac:dyDescent="0.25">
      <c r="B61" s="70" t="s">
        <v>950</v>
      </c>
      <c r="C61" s="67">
        <f>COUNTIF(Tabla1[Pedido],Productos_frec_tabla[[#This Row],[Productoos]])</f>
        <v>0</v>
      </c>
      <c r="D61" s="67" t="str">
        <f>PROPER(Productos_frec_tabla[[#This Row],[Productoos]])</f>
        <v>1 Kg De Huevo</v>
      </c>
      <c r="E61" s="67" t="str">
        <f>PROPER(Productos_frec_tabla[[#This Row],[Productoos]])</f>
        <v>1 Kg De Huevo</v>
      </c>
      <c r="F61" s="67">
        <f>COUNTIF(Productos_frec_tabla[Columna1],Productos_frec_tabla[[#This Row],[Columna12]])</f>
        <v>1</v>
      </c>
      <c r="I61" s="66" t="s">
        <v>184</v>
      </c>
      <c r="J61" s="60"/>
      <c r="K61" s="60"/>
      <c r="L61" s="60"/>
      <c r="M61" s="60"/>
      <c r="N61" s="60"/>
      <c r="O61" s="60"/>
      <c r="P61" s="60"/>
      <c r="Q61" s="60"/>
      <c r="R61" s="60"/>
      <c r="S61" s="60"/>
      <c r="T61" s="71"/>
      <c r="U61" s="66" t="s">
        <v>184</v>
      </c>
      <c r="V61" s="60"/>
      <c r="W61" s="71"/>
      <c r="Y61" t="str">
        <v xml:space="preserve"> cinco sobres de bicarbonato</v>
      </c>
      <c r="Z61" t="s">
        <v>566</v>
      </c>
    </row>
    <row r="62" spans="2:26" x14ac:dyDescent="0.25">
      <c r="B62" s="70" t="s">
        <v>940</v>
      </c>
      <c r="C62" s="67">
        <f>COUNTIF(Tabla1[Pedido],Productos_frec_tabla[[#This Row],[Productoos]])</f>
        <v>0</v>
      </c>
      <c r="D62" s="67" t="str">
        <f>PROPER(Productos_frec_tabla[[#This Row],[Productoos]])</f>
        <v xml:space="preserve"> 1/2 Kg De Jamon Y De Queso Oaxaca</v>
      </c>
      <c r="E62" s="67" t="str">
        <f>PROPER(Productos_frec_tabla[[#This Row],[Productoos]])</f>
        <v xml:space="preserve"> 1/2 Kg De Jamon Y De Queso Oaxaca</v>
      </c>
      <c r="F62" s="67">
        <f>COUNTIF(Productos_frec_tabla[Columna1],Productos_frec_tabla[[#This Row],[Columna12]])</f>
        <v>1</v>
      </c>
      <c r="I62" s="66" t="s">
        <v>532</v>
      </c>
      <c r="J62" s="60" t="s">
        <v>533</v>
      </c>
      <c r="K62" s="60"/>
      <c r="L62" s="60"/>
      <c r="M62" s="60"/>
      <c r="N62" s="60"/>
      <c r="O62" s="60"/>
      <c r="P62" s="60"/>
      <c r="Q62" s="60"/>
      <c r="R62" s="60"/>
      <c r="S62" s="60"/>
      <c r="T62" s="71"/>
      <c r="U62" s="66" t="s">
        <v>532</v>
      </c>
      <c r="V62" s="60"/>
      <c r="W62" s="71"/>
      <c r="Y62" t="str">
        <v xml:space="preserve"> coca 250ml</v>
      </c>
      <c r="Z62" t="s">
        <v>631</v>
      </c>
    </row>
    <row r="63" spans="2:26" x14ac:dyDescent="0.25">
      <c r="B63" s="70" t="s">
        <v>949</v>
      </c>
      <c r="C63" s="67">
        <f>COUNTIF(Tabla1[Pedido],Productos_frec_tabla[[#This Row],[Productoos]])</f>
        <v>0</v>
      </c>
      <c r="D63" s="67" t="str">
        <f>PROPER(Productos_frec_tabla[[#This Row],[Productoos]])</f>
        <v xml:space="preserve"> 1/2 Kg De Jamon</v>
      </c>
      <c r="E63" s="67" t="str">
        <f>PROPER(Productos_frec_tabla[[#This Row],[Productoos]])</f>
        <v xml:space="preserve"> 1/2 Kg De Jamon</v>
      </c>
      <c r="F63" s="67">
        <f>COUNTIF(Productos_frec_tabla[Columna1],Productos_frec_tabla[[#This Row],[Columna12]])</f>
        <v>2</v>
      </c>
      <c r="I63" s="66" t="s">
        <v>832</v>
      </c>
      <c r="J63" s="60"/>
      <c r="K63" s="60"/>
      <c r="L63" s="60"/>
      <c r="M63" s="60"/>
      <c r="N63" s="60"/>
      <c r="O63" s="60"/>
      <c r="P63" s="60"/>
      <c r="Q63" s="60"/>
      <c r="R63" s="60"/>
      <c r="S63" s="60"/>
      <c r="T63" s="71"/>
      <c r="U63" s="66" t="s">
        <v>832</v>
      </c>
      <c r="V63" s="60"/>
      <c r="W63" s="71"/>
      <c r="Y63" t="str">
        <v xml:space="preserve"> COCA DE 1.25</v>
      </c>
      <c r="Z63" t="s">
        <v>640</v>
      </c>
    </row>
    <row r="64" spans="2:26" x14ac:dyDescent="0.25">
      <c r="B64" s="70" t="s">
        <v>952</v>
      </c>
      <c r="C64" s="67">
        <f>COUNTIF(Tabla1[Pedido],Productos_frec_tabla[[#This Row],[Productoos]])</f>
        <v>0</v>
      </c>
      <c r="D64" s="67" t="str">
        <f>PROPER(Productos_frec_tabla[[#This Row],[Productoos]])</f>
        <v xml:space="preserve">1/2 Kd De Queso </v>
      </c>
      <c r="E64" s="67" t="str">
        <f>PROPER(Productos_frec_tabla[[#This Row],[Productoos]])</f>
        <v xml:space="preserve">1/2 Kd De Queso </v>
      </c>
      <c r="F64" s="67">
        <f>COUNTIF(Productos_frec_tabla[Columna1],Productos_frec_tabla[[#This Row],[Columna12]])</f>
        <v>1</v>
      </c>
      <c r="I64" s="66" t="s">
        <v>836</v>
      </c>
      <c r="J64" s="60" t="s">
        <v>856</v>
      </c>
      <c r="K64" s="60" t="s">
        <v>857</v>
      </c>
      <c r="L64" s="60" t="s">
        <v>858</v>
      </c>
      <c r="M64" s="60" t="s">
        <v>534</v>
      </c>
      <c r="N64" s="60" t="s">
        <v>859</v>
      </c>
      <c r="O64" s="60" t="s">
        <v>860</v>
      </c>
      <c r="P64" s="60" t="s">
        <v>535</v>
      </c>
      <c r="Q64" s="60" t="s">
        <v>536</v>
      </c>
      <c r="R64" s="60"/>
      <c r="S64" s="60"/>
      <c r="T64" s="71"/>
      <c r="U64" s="66" t="s">
        <v>836</v>
      </c>
      <c r="V64" s="60"/>
      <c r="W64" s="71"/>
      <c r="Y64" t="str">
        <v xml:space="preserve"> coca de 1.750</v>
      </c>
      <c r="Z64" t="s">
        <v>626</v>
      </c>
    </row>
    <row r="65" spans="2:26" x14ac:dyDescent="0.25">
      <c r="B65" s="70" t="s">
        <v>951</v>
      </c>
      <c r="C65" s="67">
        <f>COUNTIF(Tabla1[Pedido],Productos_frec_tabla[[#This Row],[Productoos]])</f>
        <v>0</v>
      </c>
      <c r="D65" s="67" t="str">
        <f>PROPER(Productos_frec_tabla[[#This Row],[Productoos]])</f>
        <v>1 Pan Tostado</v>
      </c>
      <c r="E65" s="67" t="str">
        <f>PROPER(Productos_frec_tabla[[#This Row],[Productoos]])</f>
        <v>1 Pan Tostado</v>
      </c>
      <c r="F65" s="67">
        <f>COUNTIF(Productos_frec_tabla[Columna1],Productos_frec_tabla[[#This Row],[Columna12]])</f>
        <v>1</v>
      </c>
      <c r="I65" s="66" t="s">
        <v>537</v>
      </c>
      <c r="J65" s="60" t="s">
        <v>538</v>
      </c>
      <c r="K65" s="60" t="s">
        <v>539</v>
      </c>
      <c r="L65" s="60"/>
      <c r="M65" s="60"/>
      <c r="N65" s="60"/>
      <c r="O65" s="60"/>
      <c r="P65" s="60"/>
      <c r="Q65" s="60"/>
      <c r="R65" s="60"/>
      <c r="S65" s="60"/>
      <c r="T65" s="71"/>
      <c r="U65" s="66" t="s">
        <v>537</v>
      </c>
      <c r="V65" s="60"/>
      <c r="W65" s="71"/>
      <c r="Y65" t="str">
        <v xml:space="preserve"> coca de 3l</v>
      </c>
      <c r="Z65" t="s">
        <v>629</v>
      </c>
    </row>
    <row r="66" spans="2:26" x14ac:dyDescent="0.25">
      <c r="B66" s="70" t="s">
        <v>941</v>
      </c>
      <c r="C66" s="67">
        <f>COUNTIF(Tabla1[Pedido],Productos_frec_tabla[[#This Row],[Productoos]])</f>
        <v>0</v>
      </c>
      <c r="D66" s="67" t="str">
        <f>PROPER(Productos_frec_tabla[[#This Row],[Productoos]])</f>
        <v xml:space="preserve"> 1/2 Kg De Zanahoria 1/2 De Tortillas </v>
      </c>
      <c r="E66" s="67" t="str">
        <f>PROPER(Productos_frec_tabla[[#This Row],[Productoos]])</f>
        <v xml:space="preserve"> 1/2 Kg De Zanahoria 1/2 De Tortillas </v>
      </c>
      <c r="F66" s="67">
        <f>COUNTIF(Productos_frec_tabla[Columna1],Productos_frec_tabla[[#This Row],[Columna12]])</f>
        <v>1</v>
      </c>
      <c r="I66" s="66" t="s">
        <v>894</v>
      </c>
      <c r="J66" s="60"/>
      <c r="K66" s="60"/>
      <c r="L66" s="60"/>
      <c r="M66" s="60"/>
      <c r="N66" s="60"/>
      <c r="O66" s="60"/>
      <c r="P66" s="60"/>
      <c r="Q66" s="60"/>
      <c r="R66" s="60"/>
      <c r="S66" s="60"/>
      <c r="T66" s="71"/>
      <c r="U66" s="66" t="s">
        <v>894</v>
      </c>
      <c r="V66" s="60"/>
      <c r="W66" s="71"/>
      <c r="Y66" t="str">
        <v xml:space="preserve"> coca de a litro y medio</v>
      </c>
      <c r="Z66" t="s">
        <v>782</v>
      </c>
    </row>
    <row r="67" spans="2:26" x14ac:dyDescent="0.25">
      <c r="B67" s="70" t="s">
        <v>728</v>
      </c>
      <c r="C67" s="67">
        <f>COUNTIF(Tabla1[Pedido],Productos_frec_tabla[[#This Row],[Productoos]])</f>
        <v>0</v>
      </c>
      <c r="D67" s="67" t="str">
        <f>PROPER(Productos_frec_tabla[[#This Row],[Productoos]])</f>
        <v xml:space="preserve"> 1De Jamon</v>
      </c>
      <c r="E67" s="67" t="str">
        <f>PROPER(Productos_frec_tabla[[#This Row],[Productoos]])</f>
        <v xml:space="preserve"> 1De Jamon</v>
      </c>
      <c r="F67" s="67">
        <f>COUNTIF(Productos_frec_tabla[Columna1],Productos_frec_tabla[[#This Row],[Columna12]])</f>
        <v>1</v>
      </c>
      <c r="I67" s="66" t="s">
        <v>315</v>
      </c>
      <c r="J67" s="60" t="s">
        <v>895</v>
      </c>
      <c r="K67" s="60" t="s">
        <v>540</v>
      </c>
      <c r="L67" s="60"/>
      <c r="M67" s="60"/>
      <c r="N67" s="60"/>
      <c r="O67" s="60"/>
      <c r="P67" s="60"/>
      <c r="Q67" s="60"/>
      <c r="R67" s="60"/>
      <c r="S67" s="60"/>
      <c r="T67" s="71"/>
      <c r="U67" s="66" t="s">
        <v>315</v>
      </c>
      <c r="V67" s="60"/>
      <c r="W67" s="71"/>
      <c r="Y67" t="str">
        <v xml:space="preserve"> coca de de 1.70</v>
      </c>
      <c r="Z67" t="s">
        <v>633</v>
      </c>
    </row>
    <row r="68" spans="2:26" x14ac:dyDescent="0.25">
      <c r="B68" s="70" t="s">
        <v>732</v>
      </c>
      <c r="C68" s="67">
        <f>COUNTIF(Tabla1[Pedido],Productos_frec_tabla[[#This Row],[Productoos]])</f>
        <v>0</v>
      </c>
      <c r="D68" s="67" t="str">
        <f>PROPER(Productos_frec_tabla[[#This Row],[Productoos]])</f>
        <v xml:space="preserve"> 1De Tortillas</v>
      </c>
      <c r="E68" s="67" t="str">
        <f>PROPER(Productos_frec_tabla[[#This Row],[Productoos]])</f>
        <v xml:space="preserve"> 1De Tortillas</v>
      </c>
      <c r="F68" s="67">
        <f>COUNTIF(Productos_frec_tabla[Columna1],Productos_frec_tabla[[#This Row],[Columna12]])</f>
        <v>1</v>
      </c>
      <c r="I68" s="66" t="s">
        <v>174</v>
      </c>
      <c r="J68" s="60"/>
      <c r="K68" s="60"/>
      <c r="L68" s="60"/>
      <c r="M68" s="60"/>
      <c r="N68" s="60"/>
      <c r="O68" s="60"/>
      <c r="P68" s="60"/>
      <c r="Q68" s="60"/>
      <c r="R68" s="60"/>
      <c r="S68" s="60"/>
      <c r="T68" s="71"/>
      <c r="U68" s="66" t="s">
        <v>174</v>
      </c>
      <c r="V68" s="60"/>
      <c r="W68" s="71"/>
      <c r="Y68" t="str">
        <v xml:space="preserve"> coca de lata</v>
      </c>
      <c r="Z68" t="s">
        <v>627</v>
      </c>
    </row>
    <row r="69" spans="2:26" x14ac:dyDescent="0.25">
      <c r="B69" s="70" t="s">
        <v>675</v>
      </c>
      <c r="C69" s="67">
        <f>COUNTIF(Tabla1[Pedido],Productos_frec_tabla[[#This Row],[Productoos]])</f>
        <v>0</v>
      </c>
      <c r="D69" s="67" t="str">
        <f>PROPER(Productos_frec_tabla[[#This Row],[Productoos]])</f>
        <v xml:space="preserve"> 1Kg De Tortillas </v>
      </c>
      <c r="E69" s="67" t="str">
        <f>PROPER(Productos_frec_tabla[[#This Row],[Productoos]])</f>
        <v xml:space="preserve"> 1Kg De Tortillas </v>
      </c>
      <c r="F69" s="67">
        <f>COUNTIF(Productos_frec_tabla[Columna1],Productos_frec_tabla[[#This Row],[Columna12]])</f>
        <v>1</v>
      </c>
      <c r="I69" s="65" t="s">
        <v>541</v>
      </c>
      <c r="J69" s="60" t="s">
        <v>542</v>
      </c>
      <c r="K69" s="60" t="s">
        <v>896</v>
      </c>
      <c r="L69" s="60"/>
      <c r="M69" s="60"/>
      <c r="N69" s="60"/>
      <c r="O69" s="60"/>
      <c r="P69" s="60"/>
      <c r="Q69" s="60"/>
      <c r="R69" s="60"/>
      <c r="S69" s="60"/>
      <c r="T69" s="71"/>
      <c r="U69" s="66" t="s">
        <v>541</v>
      </c>
      <c r="V69" s="60"/>
      <c r="W69" s="71"/>
      <c r="Y69" t="str">
        <v xml:space="preserve"> Coca-Cola de 350ml</v>
      </c>
      <c r="Z69" t="s">
        <v>742</v>
      </c>
    </row>
    <row r="70" spans="2:26" x14ac:dyDescent="0.25">
      <c r="B70" s="70" t="s">
        <v>727</v>
      </c>
      <c r="C70" s="67">
        <f>COUNTIF(Tabla1[Pedido],Productos_frec_tabla[[#This Row],[Productoos]])</f>
        <v>0</v>
      </c>
      <c r="D70" s="67" t="str">
        <f>PROPER(Productos_frec_tabla[[#This Row],[Productoos]])</f>
        <v xml:space="preserve"> 2De Jamon</v>
      </c>
      <c r="E70" s="67" t="str">
        <f>PROPER(Productos_frec_tabla[[#This Row],[Productoos]])</f>
        <v xml:space="preserve"> 2De Jamon</v>
      </c>
      <c r="F70" s="67">
        <f>COUNTIF(Productos_frec_tabla[Columna1],Productos_frec_tabla[[#This Row],[Columna12]])</f>
        <v>1</v>
      </c>
      <c r="I70" s="66" t="s">
        <v>414</v>
      </c>
      <c r="J70" s="60"/>
      <c r="K70" s="60"/>
      <c r="L70" s="60"/>
      <c r="M70" s="60"/>
      <c r="N70" s="60"/>
      <c r="O70" s="60"/>
      <c r="P70" s="60"/>
      <c r="Q70" s="60"/>
      <c r="R70" s="60"/>
      <c r="S70" s="60"/>
      <c r="T70" s="71"/>
      <c r="U70" s="66" t="s">
        <v>414</v>
      </c>
      <c r="V70" s="60"/>
      <c r="W70" s="71"/>
      <c r="Y70" t="str">
        <v xml:space="preserve"> cocas</v>
      </c>
      <c r="Z70" t="s">
        <v>693</v>
      </c>
    </row>
    <row r="71" spans="2:26" x14ac:dyDescent="0.25">
      <c r="B71" s="70" t="s">
        <v>548</v>
      </c>
      <c r="C71" s="67">
        <f>COUNTIF(Tabla1[Pedido],Productos_frec_tabla[[#This Row],[Productoos]])</f>
        <v>0</v>
      </c>
      <c r="D71" s="67" t="str">
        <f>PROPER(Productos_frec_tabla[[#This Row],[Productoos]])</f>
        <v xml:space="preserve"> 40 De Uvas</v>
      </c>
      <c r="E71" s="67" t="str">
        <f>PROPER(Productos_frec_tabla[[#This Row],[Productoos]])</f>
        <v xml:space="preserve"> 40 De Uvas</v>
      </c>
      <c r="F71" s="67">
        <f>COUNTIF(Productos_frec_tabla[Columna1],Productos_frec_tabla[[#This Row],[Columna12]])</f>
        <v>1</v>
      </c>
      <c r="I71" s="66" t="s">
        <v>415</v>
      </c>
      <c r="J71" s="60"/>
      <c r="K71" s="60"/>
      <c r="L71" s="60"/>
      <c r="M71" s="60"/>
      <c r="N71" s="60"/>
      <c r="O71" s="60"/>
      <c r="P71" s="60"/>
      <c r="Q71" s="60"/>
      <c r="R71" s="60"/>
      <c r="S71" s="60"/>
      <c r="T71" s="71"/>
      <c r="U71" s="66" t="s">
        <v>415</v>
      </c>
      <c r="V71" s="60"/>
      <c r="W71" s="71"/>
      <c r="Y71" t="str">
        <v xml:space="preserve"> crema de 1/22</v>
      </c>
      <c r="Z71" t="s">
        <v>711</v>
      </c>
    </row>
    <row r="72" spans="2:26" x14ac:dyDescent="0.25">
      <c r="B72" s="70" t="s">
        <v>632</v>
      </c>
      <c r="C72" s="67">
        <f>COUNTIF(Tabla1[Pedido],Productos_frec_tabla[[#This Row],[Productoos]])</f>
        <v>0</v>
      </c>
      <c r="D72" s="67" t="str">
        <f>PROPER(Productos_frec_tabla[[#This Row],[Productoos]])</f>
        <v xml:space="preserve"> Agucate</v>
      </c>
      <c r="E72" s="67" t="str">
        <f>PROPER(Productos_frec_tabla[[#This Row],[Productoos]])</f>
        <v xml:space="preserve"> Agucate</v>
      </c>
      <c r="F72" s="67">
        <f>COUNTIF(Productos_frec_tabla[Columna1],Productos_frec_tabla[[#This Row],[Columna12]])</f>
        <v>1</v>
      </c>
      <c r="I72" s="66" t="s">
        <v>541</v>
      </c>
      <c r="J72" s="60" t="s">
        <v>542</v>
      </c>
      <c r="K72" s="60" t="s">
        <v>896</v>
      </c>
      <c r="L72" s="60"/>
      <c r="M72" s="60"/>
      <c r="N72" s="60"/>
      <c r="O72" s="60"/>
      <c r="P72" s="60"/>
      <c r="Q72" s="60"/>
      <c r="R72" s="60"/>
      <c r="S72" s="60"/>
      <c r="T72" s="71"/>
      <c r="U72" s="66" t="s">
        <v>541</v>
      </c>
      <c r="V72" s="60"/>
      <c r="W72" s="71"/>
      <c r="Y72" t="str">
        <v xml:space="preserve"> cubos de pollo</v>
      </c>
      <c r="Z72" t="s">
        <v>735</v>
      </c>
    </row>
    <row r="73" spans="2:26" x14ac:dyDescent="0.25">
      <c r="B73" s="70" t="s">
        <v>763</v>
      </c>
      <c r="C73" s="67">
        <f>COUNTIF(Tabla1[Pedido],Productos_frec_tabla[[#This Row],[Productoos]])</f>
        <v>0</v>
      </c>
      <c r="D73" s="67" t="str">
        <f>PROPER(Productos_frec_tabla[[#This Row],[Productoos]])</f>
        <v xml:space="preserve"> Arroz</v>
      </c>
      <c r="E73" s="67" t="str">
        <f>PROPER(Productos_frec_tabla[[#This Row],[Productoos]])</f>
        <v xml:space="preserve"> Arroz</v>
      </c>
      <c r="F73" s="67">
        <f>COUNTIF(Productos_frec_tabla[Columna1],Productos_frec_tabla[[#This Row],[Columna12]])</f>
        <v>1</v>
      </c>
      <c r="I73" s="66" t="s">
        <v>543</v>
      </c>
      <c r="J73" s="60" t="s">
        <v>897</v>
      </c>
      <c r="K73" s="60" t="s">
        <v>544</v>
      </c>
      <c r="L73" s="60" t="s">
        <v>898</v>
      </c>
      <c r="M73" s="60" t="s">
        <v>545</v>
      </c>
      <c r="N73" s="60"/>
      <c r="O73" s="60"/>
      <c r="P73" s="60"/>
      <c r="Q73" s="60"/>
      <c r="R73" s="60"/>
      <c r="S73" s="60"/>
      <c r="T73" s="71"/>
      <c r="U73" s="66" t="s">
        <v>543</v>
      </c>
      <c r="V73" s="60"/>
      <c r="W73" s="71"/>
      <c r="Y73" t="str">
        <v xml:space="preserve"> cv</v>
      </c>
      <c r="Z73" t="s">
        <v>607</v>
      </c>
    </row>
    <row r="74" spans="2:26" x14ac:dyDescent="0.25">
      <c r="B74" s="70" t="s">
        <v>565</v>
      </c>
      <c r="C74" s="67">
        <f>COUNTIF(Tabla1[Pedido],Productos_frec_tabla[[#This Row],[Productoos]])</f>
        <v>0</v>
      </c>
      <c r="D74" s="67" t="str">
        <f>PROPER(Productos_frec_tabla[[#This Row],[Productoos]])</f>
        <v xml:space="preserve"> Barrita Pritt</v>
      </c>
      <c r="E74" s="67" t="str">
        <f>PROPER(Productos_frec_tabla[[#This Row],[Productoos]])</f>
        <v xml:space="preserve"> Barrita Pritt</v>
      </c>
      <c r="F74" s="67">
        <f>COUNTIF(Productos_frec_tabla[Columna1],Productos_frec_tabla[[#This Row],[Columna12]])</f>
        <v>1</v>
      </c>
      <c r="I74" s="66" t="s">
        <v>546</v>
      </c>
      <c r="J74" s="60" t="s">
        <v>547</v>
      </c>
      <c r="K74" s="60" t="s">
        <v>548</v>
      </c>
      <c r="L74" s="60"/>
      <c r="M74" s="60"/>
      <c r="N74" s="60"/>
      <c r="O74" s="60"/>
      <c r="P74" s="60"/>
      <c r="Q74" s="60"/>
      <c r="R74" s="60"/>
      <c r="S74" s="60"/>
      <c r="T74" s="71"/>
      <c r="U74" s="66" t="s">
        <v>546</v>
      </c>
      <c r="V74" s="60"/>
      <c r="W74" s="71"/>
      <c r="Y74" t="str">
        <v xml:space="preserve"> dannet</v>
      </c>
      <c r="Z74" t="s">
        <v>648</v>
      </c>
    </row>
    <row r="75" spans="2:26" x14ac:dyDescent="0.25">
      <c r="B75" s="70" t="s">
        <v>706</v>
      </c>
      <c r="C75" s="67">
        <f>COUNTIF(Tabla1[Pedido],Productos_frec_tabla[[#This Row],[Productoos]])</f>
        <v>0</v>
      </c>
      <c r="D75" s="67" t="str">
        <f>PROPER(Productos_frec_tabla[[#This Row],[Productoos]])</f>
        <v xml:space="preserve"> Barritas De Piña</v>
      </c>
      <c r="E75" s="67" t="str">
        <f>PROPER(Productos_frec_tabla[[#This Row],[Productoos]])</f>
        <v xml:space="preserve"> Barritas De Piña</v>
      </c>
      <c r="F75" s="67">
        <f>COUNTIF(Productos_frec_tabla[Columna1],Productos_frec_tabla[[#This Row],[Columna12]])</f>
        <v>1</v>
      </c>
      <c r="I75" s="66" t="s">
        <v>549</v>
      </c>
      <c r="J75" s="60" t="s">
        <v>837</v>
      </c>
      <c r="K75" s="60" t="s">
        <v>861</v>
      </c>
      <c r="L75" s="60" t="s">
        <v>862</v>
      </c>
      <c r="M75" s="60" t="s">
        <v>838</v>
      </c>
      <c r="N75" s="60" t="s">
        <v>550</v>
      </c>
      <c r="O75" s="60"/>
      <c r="P75" s="60"/>
      <c r="Q75" s="60"/>
      <c r="R75" s="60"/>
      <c r="S75" s="60"/>
      <c r="T75" s="71"/>
      <c r="U75" s="66" t="s">
        <v>549</v>
      </c>
      <c r="V75" s="60"/>
      <c r="W75" s="71"/>
      <c r="Y75" t="str">
        <v xml:space="preserve"> de jamon 1d torillas </v>
      </c>
      <c r="Z75" t="s">
        <v>739</v>
      </c>
    </row>
    <row r="76" spans="2:26" x14ac:dyDescent="0.25">
      <c r="B76" s="70" t="s">
        <v>737</v>
      </c>
      <c r="C76" s="67">
        <f>COUNTIF(Tabla1[Pedido],Productos_frec_tabla[[#This Row],[Productoos]])</f>
        <v>0</v>
      </c>
      <c r="D76" s="67" t="str">
        <f>PROPER(Productos_frec_tabla[[#This Row],[Productoos]])</f>
        <v xml:space="preserve"> Basos Del Ny Bolsa De Hielos </v>
      </c>
      <c r="E76" s="67" t="str">
        <f>PROPER(Productos_frec_tabla[[#This Row],[Productoos]])</f>
        <v xml:space="preserve"> Basos Del Ny Bolsa De Hielos </v>
      </c>
      <c r="F76" s="67">
        <f>COUNTIF(Productos_frec_tabla[Columna1],Productos_frec_tabla[[#This Row],[Columna12]])</f>
        <v>1</v>
      </c>
      <c r="I76" s="66" t="s">
        <v>839</v>
      </c>
      <c r="J76" s="60"/>
      <c r="K76" s="60"/>
      <c r="L76" s="60"/>
      <c r="M76" s="60"/>
      <c r="N76" s="60"/>
      <c r="O76" s="60"/>
      <c r="P76" s="60"/>
      <c r="Q76" s="60"/>
      <c r="R76" s="60"/>
      <c r="S76" s="60"/>
      <c r="T76" s="71"/>
      <c r="U76" s="66" t="s">
        <v>599</v>
      </c>
      <c r="V76" s="60" t="s">
        <v>840</v>
      </c>
      <c r="W76" s="71"/>
      <c r="Y76" t="str">
        <v xml:space="preserve"> de retazo</v>
      </c>
      <c r="Z76" t="s">
        <v>738</v>
      </c>
    </row>
    <row r="77" spans="2:26" x14ac:dyDescent="0.25">
      <c r="B77" s="70" t="s">
        <v>563</v>
      </c>
      <c r="C77" s="67">
        <f>COUNTIF(Tabla1[Pedido],Productos_frec_tabla[[#This Row],[Productoos]])</f>
        <v>0</v>
      </c>
      <c r="D77" s="67" t="str">
        <f>PROPER(Productos_frec_tabla[[#This Row],[Productoos]])</f>
        <v xml:space="preserve"> Bolillos</v>
      </c>
      <c r="E77" s="67" t="str">
        <f>PROPER(Productos_frec_tabla[[#This Row],[Productoos]])</f>
        <v xml:space="preserve"> Bolillos</v>
      </c>
      <c r="F77" s="67">
        <f>COUNTIF(Productos_frec_tabla[Columna1],Productos_frec_tabla[[#This Row],[Columna12]])</f>
        <v>1</v>
      </c>
      <c r="I77" s="66" t="s">
        <v>863</v>
      </c>
      <c r="J77" s="60"/>
      <c r="K77" s="60"/>
      <c r="L77" s="60"/>
      <c r="M77" s="60"/>
      <c r="N77" s="60"/>
      <c r="O77" s="60"/>
      <c r="P77" s="60"/>
      <c r="Q77" s="60"/>
      <c r="R77" s="60"/>
      <c r="S77" s="60"/>
      <c r="T77" s="71"/>
      <c r="U77" s="66" t="s">
        <v>863</v>
      </c>
      <c r="V77" s="60"/>
      <c r="W77" s="71"/>
      <c r="Y77" t="str">
        <v xml:space="preserve"> delawer 2l</v>
      </c>
      <c r="Z77" t="s">
        <v>669</v>
      </c>
    </row>
    <row r="78" spans="2:26" x14ac:dyDescent="0.25">
      <c r="B78" s="68" t="s">
        <v>685</v>
      </c>
      <c r="C78" s="67">
        <f>COUNTIF(Tabla1[Pedido],Productos_frec_tabla[[#This Row],[Productoos]])</f>
        <v>0</v>
      </c>
      <c r="D78" s="67" t="str">
        <f>PROPER(Productos_frec_tabla[[#This Row],[Productoos]])</f>
        <v xml:space="preserve"> Bolsas De Pozole</v>
      </c>
      <c r="E78" s="67" t="str">
        <f>PROPER(Productos_frec_tabla[[#This Row],[Productoos]])</f>
        <v xml:space="preserve"> Bolsas De Pozole</v>
      </c>
      <c r="F78" s="67">
        <f>COUNTIF(Productos_frec_tabla[Columna1],Productos_frec_tabla[[#This Row],[Columna12]])</f>
        <v>1</v>
      </c>
      <c r="I78" s="66" t="s">
        <v>551</v>
      </c>
      <c r="J78" s="60"/>
      <c r="K78" s="60"/>
      <c r="L78" s="60"/>
      <c r="M78" s="60"/>
      <c r="N78" s="60"/>
      <c r="O78" s="60"/>
      <c r="P78" s="60"/>
      <c r="Q78" s="60"/>
      <c r="R78" s="60"/>
      <c r="S78" s="60"/>
      <c r="T78" s="71"/>
      <c r="U78" s="66" t="s">
        <v>551</v>
      </c>
      <c r="V78" s="60"/>
      <c r="W78" s="71"/>
      <c r="Y78" t="str">
        <v xml:space="preserve"> donas espolvoreadas </v>
      </c>
      <c r="Z78" t="s">
        <v>698</v>
      </c>
    </row>
    <row r="79" spans="2:26" x14ac:dyDescent="0.25">
      <c r="B79" s="70" t="s">
        <v>708</v>
      </c>
      <c r="C79" s="67">
        <f>COUNTIF(Tabla1[Pedido],Productos_frec_tabla[[#This Row],[Productoos]])</f>
        <v>0</v>
      </c>
      <c r="D79" s="67" t="str">
        <f>PROPER(Productos_frec_tabla[[#This Row],[Productoos]])</f>
        <v xml:space="preserve"> Botes De Spagueti</v>
      </c>
      <c r="E79" s="67" t="str">
        <f>PROPER(Productos_frec_tabla[[#This Row],[Productoos]])</f>
        <v xml:space="preserve"> Botes De Spagueti</v>
      </c>
      <c r="F79" s="67">
        <f>COUNTIF(Productos_frec_tabla[Columna1],Productos_frec_tabla[[#This Row],[Columna12]])</f>
        <v>1</v>
      </c>
      <c r="I79" s="66" t="s">
        <v>552</v>
      </c>
      <c r="J79" s="60" t="s">
        <v>553</v>
      </c>
      <c r="K79" s="60" t="s">
        <v>864</v>
      </c>
      <c r="L79" s="60"/>
      <c r="M79" s="60"/>
      <c r="N79" s="60"/>
      <c r="O79" s="60"/>
      <c r="P79" s="60"/>
      <c r="Q79" s="60"/>
      <c r="R79" s="60"/>
      <c r="S79" s="60"/>
      <c r="T79" s="71"/>
      <c r="U79" s="66" t="s">
        <v>552</v>
      </c>
      <c r="V79" s="60"/>
      <c r="W79" s="71"/>
      <c r="Y79" t="str">
        <v xml:space="preserve"> doritis sal y limón</v>
      </c>
      <c r="Z79" t="s">
        <v>705</v>
      </c>
    </row>
    <row r="80" spans="2:26" x14ac:dyDescent="0.25">
      <c r="B80" s="70" t="s">
        <v>662</v>
      </c>
      <c r="C80" s="67">
        <f>COUNTIF(Tabla1[Pedido],Productos_frec_tabla[[#This Row],[Productoos]])</f>
        <v>0</v>
      </c>
      <c r="D80" s="67" t="str">
        <f>PROPER(Productos_frec_tabla[[#This Row],[Productoos]])</f>
        <v xml:space="preserve"> Caja De Malboro</v>
      </c>
      <c r="E80" s="67" t="str">
        <f>PROPER(Productos_frec_tabla[[#This Row],[Productoos]])</f>
        <v xml:space="preserve"> Caja De Malboro</v>
      </c>
      <c r="F80" s="67">
        <f>COUNTIF(Productos_frec_tabla[Columna1],Productos_frec_tabla[[#This Row],[Columna12]])</f>
        <v>1</v>
      </c>
      <c r="I80" s="66" t="s">
        <v>139</v>
      </c>
      <c r="J80" s="60"/>
      <c r="K80" s="60"/>
      <c r="L80" s="60"/>
      <c r="M80" s="60"/>
      <c r="N80" s="60"/>
      <c r="O80" s="60"/>
      <c r="P80" s="60"/>
      <c r="Q80" s="60"/>
      <c r="R80" s="60"/>
      <c r="S80" s="60"/>
      <c r="T80" s="71"/>
      <c r="U80" s="66" t="s">
        <v>139</v>
      </c>
      <c r="V80" s="60"/>
      <c r="W80" s="71"/>
      <c r="Y80" t="str">
        <v xml:space="preserve"> doritos nacho</v>
      </c>
      <c r="Z80" t="s">
        <v>605</v>
      </c>
    </row>
    <row r="81" spans="2:26" x14ac:dyDescent="0.25">
      <c r="B81" s="68" t="s">
        <v>689</v>
      </c>
      <c r="C81" s="67">
        <f>COUNTIF(Tabla1[Pedido],Productos_frec_tabla[[#This Row],[Productoos]])</f>
        <v>0</v>
      </c>
      <c r="D81" s="67" t="str">
        <f>PROPER(Productos_frec_tabla[[#This Row],[Productoos]])</f>
        <v xml:space="preserve"> Cajas Lucky Suaves </v>
      </c>
      <c r="E81" s="67" t="str">
        <f>PROPER(Productos_frec_tabla[[#This Row],[Productoos]])</f>
        <v xml:space="preserve"> Cajas Lucky Suaves </v>
      </c>
      <c r="F81" s="67">
        <f>COUNTIF(Productos_frec_tabla[Columna1],Productos_frec_tabla[[#This Row],[Columna12]])</f>
        <v>1</v>
      </c>
      <c r="I81" s="66" t="s">
        <v>137</v>
      </c>
      <c r="J81" s="60"/>
      <c r="K81" s="60"/>
      <c r="L81" s="60"/>
      <c r="M81" s="60"/>
      <c r="N81" s="60"/>
      <c r="O81" s="60"/>
      <c r="P81" s="60"/>
      <c r="Q81" s="60"/>
      <c r="R81" s="60"/>
      <c r="S81" s="60"/>
      <c r="T81" s="71"/>
      <c r="U81" s="66" t="s">
        <v>137</v>
      </c>
      <c r="V81" s="60"/>
      <c r="W81" s="71"/>
      <c r="Y81" t="str">
        <v xml:space="preserve"> fabuloso azul</v>
      </c>
      <c r="Z81" t="s">
        <v>764</v>
      </c>
    </row>
    <row r="82" spans="2:26" x14ac:dyDescent="0.25">
      <c r="B82" s="68" t="s">
        <v>603</v>
      </c>
      <c r="C82" s="67">
        <f>COUNTIF(Tabla1[Pedido],Productos_frec_tabla[[#This Row],[Productoos]])</f>
        <v>0</v>
      </c>
      <c r="D82" s="67" t="str">
        <f>PROPER(Productos_frec_tabla[[#This Row],[Productoos]])</f>
        <v xml:space="preserve"> Caldo De Pollo</v>
      </c>
      <c r="E82" s="67" t="str">
        <f>PROPER(Productos_frec_tabla[[#This Row],[Productoos]])</f>
        <v xml:space="preserve"> Caldo De Pollo</v>
      </c>
      <c r="F82" s="67">
        <f>COUNTIF(Productos_frec_tabla[Columna1],Productos_frec_tabla[[#This Row],[Columna12]])</f>
        <v>1</v>
      </c>
      <c r="I82" s="66" t="s">
        <v>554</v>
      </c>
      <c r="J82" s="60" t="s">
        <v>899</v>
      </c>
      <c r="K82" s="60"/>
      <c r="L82" s="60"/>
      <c r="M82" s="60"/>
      <c r="N82" s="60"/>
      <c r="O82" s="60"/>
      <c r="P82" s="60"/>
      <c r="Q82" s="60"/>
      <c r="R82" s="60"/>
      <c r="S82" s="60"/>
      <c r="T82" s="71"/>
      <c r="U82" s="66" t="s">
        <v>554</v>
      </c>
      <c r="V82" s="60"/>
      <c r="W82" s="71"/>
      <c r="Y82" t="str">
        <v xml:space="preserve"> focos</v>
      </c>
      <c r="Z82" t="s">
        <v>700</v>
      </c>
    </row>
    <row r="83" spans="2:26" x14ac:dyDescent="0.25">
      <c r="B83" s="70" t="s">
        <v>761</v>
      </c>
      <c r="C83" s="67">
        <f>COUNTIF(Tabla1[Pedido],Productos_frec_tabla[[#This Row],[Productoos]])</f>
        <v>0</v>
      </c>
      <c r="D83" s="67" t="str">
        <f>PROPER(Productos_frec_tabla[[#This Row],[Productoos]])</f>
        <v xml:space="preserve"> Cereal Lfrutloops</v>
      </c>
      <c r="E83" s="67" t="str">
        <f>PROPER(Productos_frec_tabla[[#This Row],[Productoos]])</f>
        <v xml:space="preserve"> Cereal Lfrutloops</v>
      </c>
      <c r="F83" s="67">
        <f>COUNTIF(Productos_frec_tabla[Columna1],Productos_frec_tabla[[#This Row],[Columna12]])</f>
        <v>1</v>
      </c>
      <c r="I83" s="66" t="s">
        <v>555</v>
      </c>
      <c r="J83" s="60" t="s">
        <v>556</v>
      </c>
      <c r="K83" s="60"/>
      <c r="L83" s="60"/>
      <c r="M83" s="60"/>
      <c r="N83" s="60"/>
      <c r="O83" s="60"/>
      <c r="P83" s="60"/>
      <c r="Q83" s="60"/>
      <c r="R83" s="60"/>
      <c r="S83" s="60"/>
      <c r="T83" s="71"/>
      <c r="U83" s="66" t="s">
        <v>555</v>
      </c>
      <c r="V83" s="60"/>
      <c r="W83" s="71"/>
      <c r="Y83" t="str">
        <v xml:space="preserve"> galletas besos de nuez</v>
      </c>
      <c r="Z83" t="s">
        <v>743</v>
      </c>
    </row>
    <row r="84" spans="2:26" x14ac:dyDescent="0.25">
      <c r="B84" s="70" t="s">
        <v>651</v>
      </c>
      <c r="C84" s="67">
        <f>COUNTIF(Tabla1[Pedido],Productos_frec_tabla[[#This Row],[Productoos]])</f>
        <v>0</v>
      </c>
      <c r="D84" s="67" t="str">
        <f>PROPER(Productos_frec_tabla[[#This Row],[Productoos]])</f>
        <v xml:space="preserve"> Chetos Torciditos Rufles Doritos </v>
      </c>
      <c r="E84" s="67" t="str">
        <f>PROPER(Productos_frec_tabla[[#This Row],[Productoos]])</f>
        <v xml:space="preserve"> Chetos Torciditos Rufles Doritos </v>
      </c>
      <c r="F84" s="67">
        <f>COUNTIF(Productos_frec_tabla[Columna1],Productos_frec_tabla[[#This Row],[Columna12]])</f>
        <v>1</v>
      </c>
      <c r="I84" s="66" t="s">
        <v>507</v>
      </c>
      <c r="J84" s="60" t="s">
        <v>841</v>
      </c>
      <c r="K84" s="60"/>
      <c r="L84" s="60"/>
      <c r="M84" s="60"/>
      <c r="N84" s="60"/>
      <c r="O84" s="60"/>
      <c r="P84" s="60"/>
      <c r="Q84" s="60"/>
      <c r="R84" s="60"/>
      <c r="S84" s="60"/>
      <c r="T84" s="71"/>
      <c r="U84" s="66" t="s">
        <v>507</v>
      </c>
      <c r="V84" s="60"/>
      <c r="W84" s="71"/>
      <c r="Y84" t="str">
        <v xml:space="preserve"> galletas emperador de nuez</v>
      </c>
      <c r="Z84" t="s">
        <v>747</v>
      </c>
    </row>
    <row r="85" spans="2:26" x14ac:dyDescent="0.25">
      <c r="B85" s="70" t="s">
        <v>534</v>
      </c>
      <c r="C85" s="67">
        <f>COUNTIF(Tabla1[Pedido],Productos_frec_tabla[[#This Row],[Productoos]])</f>
        <v>0</v>
      </c>
      <c r="D85" s="67" t="str">
        <f>PROPER(Productos_frec_tabla[[#This Row],[Productoos]])</f>
        <v xml:space="preserve"> Cinco Gelatinas Dani</v>
      </c>
      <c r="E85" s="67" t="str">
        <f>PROPER(Productos_frec_tabla[[#This Row],[Productoos]])</f>
        <v xml:space="preserve"> Cinco Gelatinas Dani</v>
      </c>
      <c r="F85" s="67">
        <f>COUNTIF(Productos_frec_tabla[Columna1],Productos_frec_tabla[[#This Row],[Columna12]])</f>
        <v>1</v>
      </c>
      <c r="I85" s="66" t="s">
        <v>557</v>
      </c>
      <c r="J85" s="60"/>
      <c r="K85" s="60"/>
      <c r="L85" s="60"/>
      <c r="M85" s="60"/>
      <c r="N85" s="60"/>
      <c r="O85" s="60"/>
      <c r="P85" s="60"/>
      <c r="Q85" s="60"/>
      <c r="R85" s="60"/>
      <c r="S85" s="60"/>
      <c r="T85" s="71"/>
      <c r="U85" s="66" t="s">
        <v>557</v>
      </c>
      <c r="V85" s="60"/>
      <c r="W85" s="71"/>
      <c r="Y85" t="str">
        <v xml:space="preserve"> galletas marias</v>
      </c>
      <c r="Z85" t="s">
        <v>638</v>
      </c>
    </row>
    <row r="86" spans="2:26" x14ac:dyDescent="0.25">
      <c r="B86" s="70" t="s">
        <v>566</v>
      </c>
      <c r="C86" s="67">
        <f>COUNTIF(Tabla1[Pedido],Productos_frec_tabla[[#This Row],[Productoos]])</f>
        <v>0</v>
      </c>
      <c r="D86" s="67" t="str">
        <f>PROPER(Productos_frec_tabla[[#This Row],[Productoos]])</f>
        <v xml:space="preserve"> Cinco Sobres De Bicarbonato</v>
      </c>
      <c r="E86" s="67" t="str">
        <f>PROPER(Productos_frec_tabla[[#This Row],[Productoos]])</f>
        <v xml:space="preserve"> Cinco Sobres De Bicarbonato</v>
      </c>
      <c r="F86" s="67">
        <f>COUNTIF(Productos_frec_tabla[Columna1],Productos_frec_tabla[[#This Row],[Columna12]])</f>
        <v>1</v>
      </c>
      <c r="I86" s="66" t="s">
        <v>558</v>
      </c>
      <c r="J86" s="60" t="s">
        <v>559</v>
      </c>
      <c r="K86" s="60" t="s">
        <v>560</v>
      </c>
      <c r="L86" s="60"/>
      <c r="M86" s="60"/>
      <c r="N86" s="60"/>
      <c r="O86" s="60"/>
      <c r="P86" s="60"/>
      <c r="Q86" s="60"/>
      <c r="R86" s="60"/>
      <c r="S86" s="60"/>
      <c r="T86" s="71"/>
      <c r="U86" s="66" t="s">
        <v>558</v>
      </c>
      <c r="V86" s="60"/>
      <c r="W86" s="71"/>
      <c r="Y86" t="str">
        <v xml:space="preserve"> garrafon</v>
      </c>
      <c r="Z86" t="s">
        <v>604</v>
      </c>
    </row>
    <row r="87" spans="2:26" x14ac:dyDescent="0.25">
      <c r="B87" s="70" t="s">
        <v>631</v>
      </c>
      <c r="C87" s="67">
        <f>COUNTIF(Tabla1[Pedido],Productos_frec_tabla[[#This Row],[Productoos]])</f>
        <v>0</v>
      </c>
      <c r="D87" s="67" t="str">
        <f>PROPER(Productos_frec_tabla[[#This Row],[Productoos]])</f>
        <v xml:space="preserve"> Coca 250Ml</v>
      </c>
      <c r="E87" s="67" t="str">
        <f>PROPER(Productos_frec_tabla[[#This Row],[Productoos]])</f>
        <v xml:space="preserve"> Coca 250Ml</v>
      </c>
      <c r="F87" s="67">
        <f>COUNTIF(Productos_frec_tabla[Columna1],Productos_frec_tabla[[#This Row],[Columna12]])</f>
        <v>1</v>
      </c>
      <c r="I87" s="66" t="s">
        <v>561</v>
      </c>
      <c r="J87" s="60" t="s">
        <v>562</v>
      </c>
      <c r="K87" s="60" t="s">
        <v>563</v>
      </c>
      <c r="L87" s="60"/>
      <c r="M87" s="60"/>
      <c r="N87" s="60"/>
      <c r="O87" s="60"/>
      <c r="P87" s="60"/>
      <c r="Q87" s="60"/>
      <c r="R87" s="60"/>
      <c r="S87" s="60"/>
      <c r="T87" s="71"/>
      <c r="U87" s="66" t="s">
        <v>561</v>
      </c>
      <c r="V87" s="60"/>
      <c r="W87" s="71"/>
      <c r="Y87" t="str">
        <v xml:space="preserve"> garrafón de agua 10l</v>
      </c>
      <c r="Z87" t="s">
        <v>771</v>
      </c>
    </row>
    <row r="88" spans="2:26" x14ac:dyDescent="0.25">
      <c r="B88" s="70" t="s">
        <v>640</v>
      </c>
      <c r="C88" s="67">
        <f>COUNTIF(Tabla1[Pedido],Productos_frec_tabla[[#This Row],[Productoos]])</f>
        <v>0</v>
      </c>
      <c r="D88" s="67" t="str">
        <f>PROPER(Productos_frec_tabla[[#This Row],[Productoos]])</f>
        <v xml:space="preserve"> Coca De 1.25</v>
      </c>
      <c r="E88" s="67" t="str">
        <f>PROPER(Productos_frec_tabla[[#This Row],[Productoos]])</f>
        <v xml:space="preserve"> Coca De 1.25</v>
      </c>
      <c r="F88" s="67">
        <f>COUNTIF(Productos_frec_tabla[Columna1],Productos_frec_tabla[[#This Row],[Columna12]])</f>
        <v>1</v>
      </c>
      <c r="I88" s="66" t="s">
        <v>112</v>
      </c>
      <c r="J88" s="60"/>
      <c r="K88" s="60"/>
      <c r="L88" s="60"/>
      <c r="M88" s="60"/>
      <c r="N88" s="60"/>
      <c r="O88" s="60"/>
      <c r="P88" s="60"/>
      <c r="Q88" s="60"/>
      <c r="R88" s="60"/>
      <c r="S88" s="60"/>
      <c r="T88" s="71"/>
      <c r="U88" s="66" t="s">
        <v>112</v>
      </c>
      <c r="V88" s="60"/>
      <c r="W88" s="71"/>
      <c r="Y88" t="str">
        <v xml:space="preserve"> Garrafones Bonafont</v>
      </c>
      <c r="Z88" t="s">
        <v>690</v>
      </c>
    </row>
    <row r="89" spans="2:26" x14ac:dyDescent="0.25">
      <c r="B89" s="70" t="s">
        <v>626</v>
      </c>
      <c r="C89" s="67">
        <f>COUNTIF(Tabla1[Pedido],Productos_frec_tabla[[#This Row],[Productoos]])</f>
        <v>0</v>
      </c>
      <c r="D89" s="67" t="str">
        <f>PROPER(Productos_frec_tabla[[#This Row],[Productoos]])</f>
        <v xml:space="preserve"> Coca De 1.750</v>
      </c>
      <c r="E89" s="67" t="str">
        <f>PROPER(Productos_frec_tabla[[#This Row],[Productoos]])</f>
        <v xml:space="preserve"> Coca De 1.750</v>
      </c>
      <c r="F89" s="67">
        <f>COUNTIF(Productos_frec_tabla[Columna1],Productos_frec_tabla[[#This Row],[Columna12]])</f>
        <v>1</v>
      </c>
      <c r="I89" s="66" t="s">
        <v>564</v>
      </c>
      <c r="J89" s="60" t="s">
        <v>565</v>
      </c>
      <c r="K89" s="60"/>
      <c r="L89" s="60"/>
      <c r="M89" s="60"/>
      <c r="N89" s="60"/>
      <c r="O89" s="60"/>
      <c r="P89" s="60"/>
      <c r="Q89" s="60"/>
      <c r="R89" s="60"/>
      <c r="S89" s="60"/>
      <c r="T89" s="71"/>
      <c r="U89" s="66" t="s">
        <v>564</v>
      </c>
      <c r="V89" s="60"/>
      <c r="W89" s="71"/>
      <c r="Y89" t="str">
        <v xml:space="preserve"> garrafones ciel</v>
      </c>
      <c r="Z89" t="s">
        <v>688</v>
      </c>
    </row>
    <row r="90" spans="2:26" x14ac:dyDescent="0.25">
      <c r="B90" s="70" t="s">
        <v>629</v>
      </c>
      <c r="C90" s="67">
        <f>COUNTIF(Tabla1[Pedido],Productos_frec_tabla[[#This Row],[Productoos]])</f>
        <v>0</v>
      </c>
      <c r="D90" s="67" t="str">
        <f>PROPER(Productos_frec_tabla[[#This Row],[Productoos]])</f>
        <v xml:space="preserve"> Coca De 3L</v>
      </c>
      <c r="E90" s="67" t="str">
        <f>PROPER(Productos_frec_tabla[[#This Row],[Productoos]])</f>
        <v xml:space="preserve"> Coca De 3L</v>
      </c>
      <c r="F90" s="67">
        <f>COUNTIF(Productos_frec_tabla[Columna1],Productos_frec_tabla[[#This Row],[Columna12]])</f>
        <v>1</v>
      </c>
      <c r="I90" s="66" t="s">
        <v>865</v>
      </c>
      <c r="J90" s="60" t="s">
        <v>866</v>
      </c>
      <c r="K90" s="60" t="s">
        <v>867</v>
      </c>
      <c r="L90" s="60" t="s">
        <v>868</v>
      </c>
      <c r="M90" s="60" t="s">
        <v>566</v>
      </c>
      <c r="N90" s="60" t="s">
        <v>842</v>
      </c>
      <c r="O90" s="60" t="s">
        <v>869</v>
      </c>
      <c r="P90" s="60"/>
      <c r="Q90" s="60"/>
      <c r="R90" s="60"/>
      <c r="S90" s="60"/>
      <c r="T90" s="71"/>
      <c r="U90" s="66" t="s">
        <v>865</v>
      </c>
      <c r="V90" s="60"/>
      <c r="W90" s="71"/>
      <c r="Y90" t="str">
        <v xml:space="preserve"> garrafones de bonafontn 10L</v>
      </c>
      <c r="Z90" t="s">
        <v>691</v>
      </c>
    </row>
    <row r="91" spans="2:26" x14ac:dyDescent="0.25">
      <c r="B91" s="70" t="s">
        <v>782</v>
      </c>
      <c r="C91" s="67">
        <f>COUNTIF(Tabla1[Pedido],Productos_frec_tabla[[#This Row],[Productoos]])</f>
        <v>0</v>
      </c>
      <c r="D91" s="67" t="str">
        <f>PROPER(Productos_frec_tabla[[#This Row],[Productoos]])</f>
        <v xml:space="preserve"> Coca De A Litro Y Medio</v>
      </c>
      <c r="E91" s="67" t="str">
        <f>PROPER(Productos_frec_tabla[[#This Row],[Productoos]])</f>
        <v xml:space="preserve"> Coca De A Litro Y Medio</v>
      </c>
      <c r="F91" s="67">
        <f>COUNTIF(Productos_frec_tabla[Columna1],Productos_frec_tabla[[#This Row],[Columna12]])</f>
        <v>1</v>
      </c>
      <c r="I91" s="66" t="s">
        <v>567</v>
      </c>
      <c r="J91" s="60" t="s">
        <v>568</v>
      </c>
      <c r="K91" s="60" t="s">
        <v>569</v>
      </c>
      <c r="L91" s="60" t="s">
        <v>570</v>
      </c>
      <c r="M91" s="60" t="s">
        <v>571</v>
      </c>
      <c r="N91" s="60" t="s">
        <v>936</v>
      </c>
      <c r="O91" s="60" t="s">
        <v>572</v>
      </c>
      <c r="P91" s="60"/>
      <c r="Q91" s="60"/>
      <c r="R91" s="60"/>
      <c r="S91" s="60"/>
      <c r="T91" s="71"/>
      <c r="U91" s="66" t="s">
        <v>567</v>
      </c>
      <c r="V91" s="60"/>
      <c r="W91" s="71"/>
      <c r="Y91" t="str">
        <v xml:space="preserve"> gelatinas yakul</v>
      </c>
      <c r="Z91" t="s">
        <v>714</v>
      </c>
    </row>
    <row r="92" spans="2:26" x14ac:dyDescent="0.25">
      <c r="B92" s="70" t="s">
        <v>633</v>
      </c>
      <c r="C92" s="67">
        <f>COUNTIF(Tabla1[Pedido],Productos_frec_tabla[[#This Row],[Productoos]])</f>
        <v>0</v>
      </c>
      <c r="D92" s="67" t="str">
        <f>PROPER(Productos_frec_tabla[[#This Row],[Productoos]])</f>
        <v xml:space="preserve"> Coca De De 1.70</v>
      </c>
      <c r="E92" s="67" t="str">
        <f>PROPER(Productos_frec_tabla[[#This Row],[Productoos]])</f>
        <v xml:space="preserve"> Coca De De 1.70</v>
      </c>
      <c r="F92" s="67">
        <f>COUNTIF(Productos_frec_tabla[Columna1],Productos_frec_tabla[[#This Row],[Columna12]])</f>
        <v>1</v>
      </c>
      <c r="I92" s="66" t="s">
        <v>573</v>
      </c>
      <c r="J92" s="60" t="s">
        <v>900</v>
      </c>
      <c r="K92" s="60" t="s">
        <v>574</v>
      </c>
      <c r="L92" s="60"/>
      <c r="M92" s="60"/>
      <c r="N92" s="60"/>
      <c r="O92" s="60"/>
      <c r="P92" s="60"/>
      <c r="Q92" s="60"/>
      <c r="R92" s="60"/>
      <c r="S92" s="60"/>
      <c r="T92" s="71"/>
      <c r="U92" s="66" t="s">
        <v>573</v>
      </c>
      <c r="V92" s="60"/>
      <c r="W92" s="71"/>
      <c r="Y92" t="str">
        <v xml:space="preserve"> hamburgesas </v>
      </c>
      <c r="Z92" t="s">
        <v>733</v>
      </c>
    </row>
    <row r="93" spans="2:26" x14ac:dyDescent="0.25">
      <c r="B93" s="70" t="s">
        <v>627</v>
      </c>
      <c r="C93" s="67">
        <f>COUNTIF(Tabla1[Pedido],Productos_frec_tabla[[#This Row],[Productoos]])</f>
        <v>0</v>
      </c>
      <c r="D93" s="67" t="str">
        <f>PROPER(Productos_frec_tabla[[#This Row],[Productoos]])</f>
        <v xml:space="preserve"> Coca De Lata</v>
      </c>
      <c r="E93" s="67" t="str">
        <f>PROPER(Productos_frec_tabla[[#This Row],[Productoos]])</f>
        <v xml:space="preserve"> Coca De Lata</v>
      </c>
      <c r="F93" s="67">
        <f>COUNTIF(Productos_frec_tabla[Columna1],Productos_frec_tabla[[#This Row],[Columna12]])</f>
        <v>1</v>
      </c>
      <c r="I93" s="66" t="s">
        <v>575</v>
      </c>
      <c r="J93" s="60" t="s">
        <v>901</v>
      </c>
      <c r="K93" s="60" t="s">
        <v>576</v>
      </c>
      <c r="L93" s="60" t="s">
        <v>577</v>
      </c>
      <c r="M93" s="60"/>
      <c r="N93" s="60"/>
      <c r="O93" s="60"/>
      <c r="P93" s="60"/>
      <c r="Q93" s="60"/>
      <c r="R93" s="60"/>
      <c r="S93" s="60"/>
      <c r="T93" s="71"/>
      <c r="U93" s="66" t="s">
        <v>575</v>
      </c>
      <c r="V93" s="60"/>
      <c r="W93" s="71"/>
      <c r="Y93" t="str">
        <v xml:space="preserve"> jarrito</v>
      </c>
      <c r="Z93" t="s">
        <v>601</v>
      </c>
    </row>
    <row r="94" spans="2:26" x14ac:dyDescent="0.25">
      <c r="B94" s="70" t="s">
        <v>742</v>
      </c>
      <c r="C94" s="67">
        <f>COUNTIF(Tabla1[Pedido],Productos_frec_tabla[[#This Row],[Productoos]])</f>
        <v>0</v>
      </c>
      <c r="D94" s="67" t="str">
        <f>PROPER(Productos_frec_tabla[[#This Row],[Productoos]])</f>
        <v xml:space="preserve"> Coca-Cola De 350Ml</v>
      </c>
      <c r="E94" s="67" t="str">
        <f>PROPER(Productos_frec_tabla[[#This Row],[Productoos]])</f>
        <v xml:space="preserve"> Coca-Cola De 350Ml</v>
      </c>
      <c r="F94" s="67">
        <f>COUNTIF(Productos_frec_tabla[Columna1],Productos_frec_tabla[[#This Row],[Columna12]])</f>
        <v>1</v>
      </c>
      <c r="I94" s="66" t="s">
        <v>902</v>
      </c>
      <c r="J94" s="60" t="s">
        <v>903</v>
      </c>
      <c r="K94" s="60" t="s">
        <v>904</v>
      </c>
      <c r="L94" s="60" t="s">
        <v>905</v>
      </c>
      <c r="M94" s="60" t="s">
        <v>906</v>
      </c>
      <c r="N94" s="60" t="s">
        <v>907</v>
      </c>
      <c r="O94" s="60" t="s">
        <v>908</v>
      </c>
      <c r="P94" s="60" t="s">
        <v>909</v>
      </c>
      <c r="Q94" s="60"/>
      <c r="R94" s="60"/>
      <c r="S94" s="60"/>
      <c r="T94" s="71"/>
      <c r="U94" s="66" t="s">
        <v>902</v>
      </c>
      <c r="V94" s="60"/>
      <c r="W94" s="71"/>
      <c r="Y94" t="str">
        <v xml:space="preserve"> jarrito 2l</v>
      </c>
      <c r="Z94" t="s">
        <v>647</v>
      </c>
    </row>
    <row r="95" spans="2:26" x14ac:dyDescent="0.25">
      <c r="B95" s="70" t="s">
        <v>693</v>
      </c>
      <c r="C95" s="67">
        <f>COUNTIF(Tabla1[Pedido],Productos_frec_tabla[[#This Row],[Productoos]])</f>
        <v>0</v>
      </c>
      <c r="D95" s="67" t="str">
        <f>PROPER(Productos_frec_tabla[[#This Row],[Productoos]])</f>
        <v xml:space="preserve"> Cocas</v>
      </c>
      <c r="E95" s="67" t="str">
        <f>PROPER(Productos_frec_tabla[[#This Row],[Productoos]])</f>
        <v xml:space="preserve"> Cocas</v>
      </c>
      <c r="F95" s="67">
        <f>COUNTIF(Productos_frec_tabla[Columna1],Productos_frec_tabla[[#This Row],[Columna12]])</f>
        <v>1</v>
      </c>
      <c r="I95" s="66" t="s">
        <v>42</v>
      </c>
      <c r="J95" s="60"/>
      <c r="K95" s="60"/>
      <c r="L95" s="60"/>
      <c r="M95" s="60"/>
      <c r="N95" s="60"/>
      <c r="O95" s="60"/>
      <c r="P95" s="60"/>
      <c r="Q95" s="60"/>
      <c r="R95" s="60"/>
      <c r="S95" s="60"/>
      <c r="T95" s="71"/>
      <c r="U95" s="66" t="s">
        <v>833</v>
      </c>
      <c r="V95" s="60" t="s">
        <v>53</v>
      </c>
      <c r="W95" s="71"/>
      <c r="Y95" t="str">
        <v xml:space="preserve"> kg de tortillas </v>
      </c>
      <c r="Z95" t="s">
        <v>674</v>
      </c>
    </row>
    <row r="96" spans="2:26" x14ac:dyDescent="0.25">
      <c r="B96" s="70" t="s">
        <v>711</v>
      </c>
      <c r="C96" s="67">
        <f>COUNTIF(Tabla1[Pedido],Productos_frec_tabla[[#This Row],[Productoos]])</f>
        <v>0</v>
      </c>
      <c r="D96" s="67" t="str">
        <f>PROPER(Productos_frec_tabla[[#This Row],[Productoos]])</f>
        <v xml:space="preserve"> Crema De 1/22</v>
      </c>
      <c r="E96" s="67" t="str">
        <f>PROPER(Productos_frec_tabla[[#This Row],[Productoos]])</f>
        <v xml:space="preserve"> Crema De 1/22</v>
      </c>
      <c r="F96" s="67">
        <f>COUNTIF(Productos_frec_tabla[Columna1],Productos_frec_tabla[[#This Row],[Columna12]])</f>
        <v>1</v>
      </c>
      <c r="I96" s="66" t="s">
        <v>843</v>
      </c>
      <c r="J96" s="60"/>
      <c r="K96" s="60"/>
      <c r="L96" s="60"/>
      <c r="M96" s="60"/>
      <c r="N96" s="60"/>
      <c r="O96" s="60"/>
      <c r="P96" s="60"/>
      <c r="Q96" s="60"/>
      <c r="R96" s="60"/>
      <c r="S96" s="60"/>
      <c r="T96" s="71"/>
      <c r="U96" s="66" t="s">
        <v>843</v>
      </c>
      <c r="V96" s="60"/>
      <c r="W96" s="71"/>
      <c r="Y96" t="str">
        <v xml:space="preserve"> Kg huevo</v>
      </c>
      <c r="Z96" t="s">
        <v>639</v>
      </c>
    </row>
    <row r="97" spans="2:26" x14ac:dyDescent="0.25">
      <c r="B97" s="70" t="s">
        <v>735</v>
      </c>
      <c r="C97" s="67">
        <f>COUNTIF(Tabla1[Pedido],Productos_frec_tabla[[#This Row],[Productoos]])</f>
        <v>0</v>
      </c>
      <c r="D97" s="67" t="str">
        <f>PROPER(Productos_frec_tabla[[#This Row],[Productoos]])</f>
        <v xml:space="preserve"> Cubos De Pollo</v>
      </c>
      <c r="E97" s="67" t="str">
        <f>PROPER(Productos_frec_tabla[[#This Row],[Productoos]])</f>
        <v xml:space="preserve"> Cubos De Pollo</v>
      </c>
      <c r="F97" s="67">
        <f>COUNTIF(Productos_frec_tabla[Columna1],Productos_frec_tabla[[#This Row],[Columna12]])</f>
        <v>1</v>
      </c>
      <c r="I97" s="66" t="s">
        <v>578</v>
      </c>
      <c r="J97" s="60" t="s">
        <v>579</v>
      </c>
      <c r="K97" s="60" t="s">
        <v>910</v>
      </c>
      <c r="L97" s="60"/>
      <c r="M97" s="60"/>
      <c r="N97" s="60"/>
      <c r="O97" s="60"/>
      <c r="P97" s="60"/>
      <c r="Q97" s="60"/>
      <c r="R97" s="60"/>
      <c r="S97" s="60"/>
      <c r="T97" s="71"/>
      <c r="U97" s="66" t="s">
        <v>578</v>
      </c>
      <c r="V97" s="60"/>
      <c r="W97" s="71"/>
      <c r="Y97" t="str">
        <v xml:space="preserve"> kinder delice</v>
      </c>
      <c r="Z97" t="s">
        <v>746</v>
      </c>
    </row>
    <row r="98" spans="2:26" x14ac:dyDescent="0.25">
      <c r="B98" s="68" t="s">
        <v>607</v>
      </c>
      <c r="C98" s="67">
        <f>COUNTIF(Tabla1[Pedido],Productos_frec_tabla[[#This Row],[Productoos]])</f>
        <v>0</v>
      </c>
      <c r="D98" s="67" t="str">
        <f>PROPER(Productos_frec_tabla[[#This Row],[Productoos]])</f>
        <v xml:space="preserve"> Cv</v>
      </c>
      <c r="E98" s="67" t="str">
        <f>PROPER(Productos_frec_tabla[[#This Row],[Productoos]])</f>
        <v xml:space="preserve"> Cv</v>
      </c>
      <c r="F98" s="67">
        <f>COUNTIF(Productos_frec_tabla[Columna1],Productos_frec_tabla[[#This Row],[Columna12]])</f>
        <v>1</v>
      </c>
      <c r="I98" s="66" t="s">
        <v>580</v>
      </c>
      <c r="J98" s="60" t="s">
        <v>911</v>
      </c>
      <c r="K98" s="60" t="s">
        <v>581</v>
      </c>
      <c r="L98" s="60" t="s">
        <v>582</v>
      </c>
      <c r="M98" s="60" t="s">
        <v>583</v>
      </c>
      <c r="N98" s="60" t="s">
        <v>912</v>
      </c>
      <c r="O98" s="60"/>
      <c r="P98" s="60"/>
      <c r="Q98" s="60"/>
      <c r="R98" s="60"/>
      <c r="S98" s="60"/>
      <c r="T98" s="71"/>
      <c r="U98" s="66" t="s">
        <v>580</v>
      </c>
      <c r="V98" s="60"/>
      <c r="W98" s="71"/>
      <c r="Y98" t="str">
        <v xml:space="preserve"> lata</v>
      </c>
      <c r="Z98" t="s">
        <v>644</v>
      </c>
    </row>
    <row r="99" spans="2:26" x14ac:dyDescent="0.25">
      <c r="B99" s="72" t="s">
        <v>648</v>
      </c>
      <c r="C99" s="67">
        <f>COUNTIF(Tabla1[Pedido],Productos_frec_tabla[[#This Row],[Productoos]])</f>
        <v>0</v>
      </c>
      <c r="D99" s="67" t="str">
        <f>PROPER(Productos_frec_tabla[[#This Row],[Productoos]])</f>
        <v xml:space="preserve"> Dannet</v>
      </c>
      <c r="E99" s="67" t="str">
        <f>PROPER(Productos_frec_tabla[[#This Row],[Productoos]])</f>
        <v xml:space="preserve"> Dannet</v>
      </c>
      <c r="F99" s="67">
        <f>COUNTIF(Productos_frec_tabla[Columna1],Productos_frec_tabla[[#This Row],[Columna12]])</f>
        <v>1</v>
      </c>
      <c r="G99" t="s">
        <v>625</v>
      </c>
      <c r="I99" s="66" t="s">
        <v>584</v>
      </c>
      <c r="J99" s="60" t="s">
        <v>913</v>
      </c>
      <c r="K99" s="60"/>
      <c r="L99" s="60"/>
      <c r="M99" s="60"/>
      <c r="N99" s="60"/>
      <c r="O99" s="60"/>
      <c r="P99" s="60"/>
      <c r="Q99" s="60"/>
      <c r="R99" s="60"/>
      <c r="S99" s="60"/>
      <c r="T99" s="71"/>
      <c r="U99" s="66" t="s">
        <v>584</v>
      </c>
      <c r="V99" s="60"/>
      <c r="W99" s="71"/>
      <c r="Y99" t="str">
        <v xml:space="preserve"> lata dew frijoles</v>
      </c>
      <c r="Z99" t="s">
        <v>666</v>
      </c>
    </row>
    <row r="100" spans="2:26" x14ac:dyDescent="0.25">
      <c r="B100" s="67" t="s">
        <v>739</v>
      </c>
      <c r="C100" s="67">
        <f>COUNTIF(Tabla1[Pedido],Productos_frec_tabla[[#This Row],[Productoos]])</f>
        <v>0</v>
      </c>
      <c r="D100" s="67" t="str">
        <f>PROPER(Productos_frec_tabla[[#This Row],[Productoos]])</f>
        <v xml:space="preserve"> De Jamon 1D Torillas </v>
      </c>
      <c r="E100" s="67" t="str">
        <f>PROPER(Productos_frec_tabla[[#This Row],[Productoos]])</f>
        <v xml:space="preserve"> De Jamon 1D Torillas </v>
      </c>
      <c r="F100" s="67">
        <f>COUNTIF(Productos_frec_tabla[Columna1],Productos_frec_tabla[[#This Row],[Columna12]])</f>
        <v>1</v>
      </c>
      <c r="I100" s="66" t="s">
        <v>585</v>
      </c>
      <c r="J100" s="60" t="s">
        <v>914</v>
      </c>
      <c r="K100" s="60" t="s">
        <v>915</v>
      </c>
      <c r="L100" s="60" t="s">
        <v>916</v>
      </c>
      <c r="M100" s="60" t="s">
        <v>917</v>
      </c>
      <c r="N100" s="60" t="s">
        <v>586</v>
      </c>
      <c r="O100" s="60" t="s">
        <v>918</v>
      </c>
      <c r="P100" s="60"/>
      <c r="Q100" s="60"/>
      <c r="R100" s="60"/>
      <c r="S100" s="60"/>
      <c r="T100" s="71"/>
      <c r="U100" s="66" t="s">
        <v>585</v>
      </c>
      <c r="V100" s="60"/>
      <c r="W100" s="71"/>
      <c r="Y100" t="str">
        <v xml:space="preserve"> lechera</v>
      </c>
      <c r="Z100" t="s">
        <v>660</v>
      </c>
    </row>
    <row r="101" spans="2:26" x14ac:dyDescent="0.25">
      <c r="B101" s="67" t="s">
        <v>738</v>
      </c>
      <c r="C101" s="67">
        <f>COUNTIF(Tabla1[Pedido],Productos_frec_tabla[[#This Row],[Productoos]])</f>
        <v>0</v>
      </c>
      <c r="D101" s="67" t="str">
        <f>PROPER(Productos_frec_tabla[[#This Row],[Productoos]])</f>
        <v xml:space="preserve"> De Retazo</v>
      </c>
      <c r="E101" s="67" t="str">
        <f>PROPER(Productos_frec_tabla[[#This Row],[Productoos]])</f>
        <v xml:space="preserve"> De Retazo</v>
      </c>
      <c r="F101" s="67">
        <f>COUNTIF(Productos_frec_tabla[Columna1],Productos_frec_tabla[[#This Row],[Columna12]])</f>
        <v>1</v>
      </c>
      <c r="I101" s="66" t="s">
        <v>19</v>
      </c>
      <c r="J101" s="60"/>
      <c r="K101" s="60"/>
      <c r="L101" s="60"/>
      <c r="M101" s="60"/>
      <c r="N101" s="60"/>
      <c r="O101" s="60"/>
      <c r="P101" s="60"/>
      <c r="Q101" s="60"/>
      <c r="R101" s="60"/>
      <c r="S101" s="60"/>
      <c r="T101" s="71"/>
      <c r="U101" s="66" t="s">
        <v>19</v>
      </c>
      <c r="V101" s="60"/>
      <c r="W101" s="71"/>
      <c r="Y101" t="str">
        <v xml:space="preserve"> litro de leche Alpura</v>
      </c>
      <c r="Z101" t="s">
        <v>757</v>
      </c>
    </row>
    <row r="102" spans="2:26" x14ac:dyDescent="0.25">
      <c r="B102" s="67" t="s">
        <v>669</v>
      </c>
      <c r="C102" s="67">
        <f>COUNTIF(Tabla1[Pedido],Productos_frec_tabla[[#This Row],[Productoos]])</f>
        <v>0</v>
      </c>
      <c r="D102" s="67" t="str">
        <f>PROPER(Productos_frec_tabla[[#This Row],[Productoos]])</f>
        <v xml:space="preserve"> Delawer 2L</v>
      </c>
      <c r="E102" s="67" t="str">
        <f>PROPER(Productos_frec_tabla[[#This Row],[Productoos]])</f>
        <v xml:space="preserve"> Delawer 2L</v>
      </c>
      <c r="F102" s="67">
        <f>COUNTIF(Productos_frec_tabla[Columna1],Productos_frec_tabla[[#This Row],[Columna12]])</f>
        <v>1</v>
      </c>
      <c r="I102" s="66" t="s">
        <v>587</v>
      </c>
      <c r="J102" s="60" t="s">
        <v>588</v>
      </c>
      <c r="K102" s="60" t="s">
        <v>901</v>
      </c>
      <c r="L102" s="60" t="s">
        <v>589</v>
      </c>
      <c r="M102" s="60" t="s">
        <v>590</v>
      </c>
      <c r="N102" s="60" t="s">
        <v>919</v>
      </c>
      <c r="O102" s="60" t="s">
        <v>920</v>
      </c>
      <c r="P102" s="60"/>
      <c r="Q102" s="60"/>
      <c r="R102" s="60"/>
      <c r="S102" s="60"/>
      <c r="T102" s="71"/>
      <c r="U102" s="66" t="s">
        <v>587</v>
      </c>
      <c r="V102" s="60"/>
      <c r="W102" s="71"/>
      <c r="Y102" t="str">
        <v xml:space="preserve"> llevar su ropa a la tintoreria</v>
      </c>
      <c r="Z102" t="s">
        <v>500</v>
      </c>
    </row>
    <row r="103" spans="2:26" x14ac:dyDescent="0.25">
      <c r="B103" s="67" t="s">
        <v>698</v>
      </c>
      <c r="C103" s="67">
        <f>COUNTIF(Tabla1[Pedido],Productos_frec_tabla[[#This Row],[Productoos]])</f>
        <v>0</v>
      </c>
      <c r="D103" s="67" t="str">
        <f>PROPER(Productos_frec_tabla[[#This Row],[Productoos]])</f>
        <v xml:space="preserve"> Donas Espolvoreadas </v>
      </c>
      <c r="E103" s="67" t="str">
        <f>PROPER(Productos_frec_tabla[[#This Row],[Productoos]])</f>
        <v xml:space="preserve"> Donas Espolvoreadas </v>
      </c>
      <c r="F103" s="67">
        <f>COUNTIF(Productos_frec_tabla[Columna1],Productos_frec_tabla[[#This Row],[Columna12]])</f>
        <v>1</v>
      </c>
      <c r="I103" s="66" t="s">
        <v>13</v>
      </c>
      <c r="J103" s="60"/>
      <c r="K103" s="60"/>
      <c r="L103" s="60"/>
      <c r="M103" s="60"/>
      <c r="N103" s="60"/>
      <c r="O103" s="60"/>
      <c r="P103" s="60"/>
      <c r="Q103" s="60"/>
      <c r="R103" s="60"/>
      <c r="S103" s="60"/>
      <c r="T103" s="71"/>
      <c r="U103" s="66" t="s">
        <v>13</v>
      </c>
      <c r="V103" s="60"/>
      <c r="W103" s="71"/>
      <c r="Y103" t="str">
        <v xml:space="preserve"> m1pechiuga 1kg de muslo y pierna </v>
      </c>
      <c r="Z103" t="s">
        <v>678</v>
      </c>
    </row>
    <row r="104" spans="2:26" x14ac:dyDescent="0.25">
      <c r="B104" s="67" t="s">
        <v>705</v>
      </c>
      <c r="C104" s="67">
        <f>COUNTIF(Tabla1[Pedido],Productos_frec_tabla[[#This Row],[Productoos]])</f>
        <v>0</v>
      </c>
      <c r="D104" s="67" t="str">
        <f>PROPER(Productos_frec_tabla[[#This Row],[Productoos]])</f>
        <v xml:space="preserve"> Doritis Sal Y Limón</v>
      </c>
      <c r="E104" s="67" t="str">
        <f>PROPER(Productos_frec_tabla[[#This Row],[Productoos]])</f>
        <v xml:space="preserve"> Doritis Sal Y Limón</v>
      </c>
      <c r="F104" s="67">
        <f>COUNTIF(Productos_frec_tabla[Columna1],Productos_frec_tabla[[#This Row],[Columna12]])</f>
        <v>1</v>
      </c>
      <c r="Y104" t="str">
        <v xml:space="preserve"> mango</v>
      </c>
      <c r="Z104" t="s">
        <v>645</v>
      </c>
    </row>
    <row r="105" spans="2:26" x14ac:dyDescent="0.25">
      <c r="B105" s="69" t="s">
        <v>605</v>
      </c>
      <c r="C105" s="67">
        <f>COUNTIF(Tabla1[Pedido],Productos_frec_tabla[[#This Row],[Productoos]])</f>
        <v>0</v>
      </c>
      <c r="D105" s="67" t="str">
        <f>PROPER(Productos_frec_tabla[[#This Row],[Productoos]])</f>
        <v xml:space="preserve"> Doritos Nacho</v>
      </c>
      <c r="E105" s="67" t="str">
        <f>PROPER(Productos_frec_tabla[[#This Row],[Productoos]])</f>
        <v xml:space="preserve"> Doritos Nacho</v>
      </c>
      <c r="F105" s="67">
        <f>COUNTIF(Productos_frec_tabla[Columna1],Productos_frec_tabla[[#This Row],[Columna12]])</f>
        <v>1</v>
      </c>
      <c r="Y105" t="str">
        <v xml:space="preserve"> mangos</v>
      </c>
      <c r="Z105" t="s">
        <v>686</v>
      </c>
    </row>
    <row r="106" spans="2:26" x14ac:dyDescent="0.25">
      <c r="B106" s="67" t="s">
        <v>764</v>
      </c>
      <c r="C106" s="67">
        <f>COUNTIF(Tabla1[Pedido],Productos_frec_tabla[[#This Row],[Productoos]])</f>
        <v>0</v>
      </c>
      <c r="D106" s="67" t="str">
        <f>PROPER(Productos_frec_tabla[[#This Row],[Productoos]])</f>
        <v xml:space="preserve"> Fabuloso Azul</v>
      </c>
      <c r="E106" s="67" t="str">
        <f>PROPER(Productos_frec_tabla[[#This Row],[Productoos]])</f>
        <v xml:space="preserve"> Fabuloso Azul</v>
      </c>
      <c r="F106" s="67">
        <f>COUNTIF(Productos_frec_tabla[Columna1],Productos_frec_tabla[[#This Row],[Columna12]])</f>
        <v>1</v>
      </c>
      <c r="Y106" t="str">
        <v xml:space="preserve"> manzanas</v>
      </c>
      <c r="Z106" t="s">
        <v>687</v>
      </c>
    </row>
    <row r="107" spans="2:26" x14ac:dyDescent="0.25">
      <c r="B107" s="67" t="s">
        <v>700</v>
      </c>
      <c r="C107" s="67">
        <f>COUNTIF(Tabla1[Pedido],Productos_frec_tabla[[#This Row],[Productoos]])</f>
        <v>0</v>
      </c>
      <c r="D107" s="67" t="str">
        <f>PROPER(Productos_frec_tabla[[#This Row],[Productoos]])</f>
        <v xml:space="preserve"> Focos</v>
      </c>
      <c r="E107" s="67" t="str">
        <f>PROPER(Productos_frec_tabla[[#This Row],[Productoos]])</f>
        <v xml:space="preserve"> Focos</v>
      </c>
      <c r="F107" s="67">
        <f>COUNTIF(Productos_frec_tabla[Columna1],Productos_frec_tabla[[#This Row],[Columna12]])</f>
        <v>1</v>
      </c>
      <c r="Y107" t="str">
        <v xml:space="preserve"> marucha de pollo</v>
      </c>
      <c r="Z107" t="s">
        <v>643</v>
      </c>
    </row>
    <row r="108" spans="2:26" x14ac:dyDescent="0.25">
      <c r="B108" s="67" t="s">
        <v>743</v>
      </c>
      <c r="C108" s="67">
        <f>COUNTIF(Tabla1[Pedido],Productos_frec_tabla[[#This Row],[Productoos]])</f>
        <v>0</v>
      </c>
      <c r="D108" s="67" t="str">
        <f>PROPER(Productos_frec_tabla[[#This Row],[Productoos]])</f>
        <v xml:space="preserve"> Galletas Besos De Nuez</v>
      </c>
      <c r="E108" s="67" t="str">
        <f>PROPER(Productos_frec_tabla[[#This Row],[Productoos]])</f>
        <v xml:space="preserve"> Galletas Besos De Nuez</v>
      </c>
      <c r="F108" s="67">
        <f>COUNTIF(Productos_frec_tabla[Columna1],Productos_frec_tabla[[#This Row],[Columna12]])</f>
        <v>1</v>
      </c>
      <c r="Y108" t="str">
        <v xml:space="preserve"> mineral</v>
      </c>
      <c r="Z108" t="s">
        <v>637</v>
      </c>
    </row>
    <row r="109" spans="2:26" x14ac:dyDescent="0.25">
      <c r="B109" s="67" t="s">
        <v>747</v>
      </c>
      <c r="C109" s="67">
        <f>COUNTIF(Tabla1[Pedido],Productos_frec_tabla[[#This Row],[Productoos]])</f>
        <v>0</v>
      </c>
      <c r="D109" s="67" t="str">
        <f>PROPER(Productos_frec_tabla[[#This Row],[Productoos]])</f>
        <v xml:space="preserve"> Galletas Emperador De Nuez</v>
      </c>
      <c r="E109" s="67" t="str">
        <f>PROPER(Productos_frec_tabla[[#This Row],[Productoos]])</f>
        <v xml:space="preserve"> Galletas Emperador De Nuez</v>
      </c>
      <c r="F109" s="67">
        <f>COUNTIF(Productos_frec_tabla[Columna1],Productos_frec_tabla[[#This Row],[Columna12]])</f>
        <v>1</v>
      </c>
      <c r="Y109" t="str">
        <v xml:space="preserve"> mineral 2l</v>
      </c>
      <c r="Z109" t="s">
        <v>658</v>
      </c>
    </row>
    <row r="110" spans="2:26" x14ac:dyDescent="0.25">
      <c r="B110" s="67" t="s">
        <v>638</v>
      </c>
      <c r="C110" s="67">
        <f>COUNTIF(Tabla1[Pedido],Productos_frec_tabla[[#This Row],[Productoos]])</f>
        <v>0</v>
      </c>
      <c r="D110" s="67" t="str">
        <f>PROPER(Productos_frec_tabla[[#This Row],[Productoos]])</f>
        <v xml:space="preserve"> Galletas Marias</v>
      </c>
      <c r="E110" s="67" t="str">
        <f>PROPER(Productos_frec_tabla[[#This Row],[Productoos]])</f>
        <v xml:space="preserve"> Galletas Marias</v>
      </c>
      <c r="F110" s="67">
        <f>COUNTIF(Productos_frec_tabla[Columna1],Productos_frec_tabla[[#This Row],[Columna12]])</f>
        <v>1</v>
      </c>
      <c r="Y110" t="str">
        <v xml:space="preserve"> moños medianos azules</v>
      </c>
      <c r="Z110" t="s">
        <v>710</v>
      </c>
    </row>
    <row r="111" spans="2:26" x14ac:dyDescent="0.25">
      <c r="B111" s="69" t="s">
        <v>604</v>
      </c>
      <c r="C111" s="67">
        <f>COUNTIF(Tabla1[Pedido],Productos_frec_tabla[[#This Row],[Productoos]])</f>
        <v>0</v>
      </c>
      <c r="D111" s="67" t="str">
        <f>PROPER(Productos_frec_tabla[[#This Row],[Productoos]])</f>
        <v xml:space="preserve"> Garrafon</v>
      </c>
      <c r="E111" s="67" t="str">
        <f>PROPER(Productos_frec_tabla[[#This Row],[Productoos]])</f>
        <v xml:space="preserve"> Garrafon</v>
      </c>
      <c r="F111" s="67">
        <f>COUNTIF(Productos_frec_tabla[Columna1],Productos_frec_tabla[[#This Row],[Columna12]])</f>
        <v>1</v>
      </c>
      <c r="Y111" t="str">
        <v xml:space="preserve"> mundet de 3l</v>
      </c>
      <c r="Z111" t="s">
        <v>655</v>
      </c>
    </row>
    <row r="112" spans="2:26" x14ac:dyDescent="0.25">
      <c r="B112" s="67" t="s">
        <v>771</v>
      </c>
      <c r="C112" s="67">
        <f>COUNTIF(Tabla1[Pedido],Productos_frec_tabla[[#This Row],[Productoos]])</f>
        <v>0</v>
      </c>
      <c r="D112" s="67" t="str">
        <f>PROPER(Productos_frec_tabla[[#This Row],[Productoos]])</f>
        <v xml:space="preserve"> Garrafón De Agua 10L</v>
      </c>
      <c r="E112" s="67" t="str">
        <f>PROPER(Productos_frec_tabla[[#This Row],[Productoos]])</f>
        <v xml:space="preserve"> Garrafón De Agua 10L</v>
      </c>
      <c r="F112" s="67">
        <f>COUNTIF(Productos_frec_tabla[Columna1],Productos_frec_tabla[[#This Row],[Columna12]])</f>
        <v>1</v>
      </c>
      <c r="Y112" t="str">
        <v xml:space="preserve"> muslos en forma de bistec</v>
      </c>
      <c r="Z112" t="s">
        <v>683</v>
      </c>
    </row>
    <row r="113" spans="2:26" x14ac:dyDescent="0.25">
      <c r="B113" s="69" t="s">
        <v>690</v>
      </c>
      <c r="C113" s="67">
        <f>COUNTIF(Tabla1[Pedido],Productos_frec_tabla[[#This Row],[Productoos]])</f>
        <v>0</v>
      </c>
      <c r="D113" s="67" t="str">
        <f>PROPER(Productos_frec_tabla[[#This Row],[Productoos]])</f>
        <v xml:space="preserve"> Garrafones Bonafont</v>
      </c>
      <c r="E113" s="67" t="str">
        <f>PROPER(Productos_frec_tabla[[#This Row],[Productoos]])</f>
        <v xml:space="preserve"> Garrafones Bonafont</v>
      </c>
      <c r="F113" s="67">
        <f>COUNTIF(Productos_frec_tabla[Columna1],Productos_frec_tabla[[#This Row],[Columna12]])</f>
        <v>1</v>
      </c>
      <c r="Y113" t="str">
        <v xml:space="preserve"> paletas de hielo </v>
      </c>
      <c r="Z113" t="s">
        <v>695</v>
      </c>
    </row>
    <row r="114" spans="2:26" x14ac:dyDescent="0.25">
      <c r="B114" s="69" t="s">
        <v>688</v>
      </c>
      <c r="C114" s="67">
        <f>COUNTIF(Tabla1[Pedido],Productos_frec_tabla[[#This Row],[Productoos]])</f>
        <v>0</v>
      </c>
      <c r="D114" s="67" t="str">
        <f>PROPER(Productos_frec_tabla[[#This Row],[Productoos]])</f>
        <v xml:space="preserve"> Garrafones Ciel</v>
      </c>
      <c r="E114" s="67" t="str">
        <f>PROPER(Productos_frec_tabla[[#This Row],[Productoos]])</f>
        <v xml:space="preserve"> Garrafones Ciel</v>
      </c>
      <c r="F114" s="67">
        <f>COUNTIF(Productos_frec_tabla[Columna1],Productos_frec_tabla[[#This Row],[Columna12]])</f>
        <v>1</v>
      </c>
      <c r="Y114" t="str">
        <v xml:space="preserve"> pan bimbo chico</v>
      </c>
      <c r="Z114" t="s">
        <v>661</v>
      </c>
    </row>
    <row r="115" spans="2:26" x14ac:dyDescent="0.25">
      <c r="B115" s="69" t="s">
        <v>691</v>
      </c>
      <c r="C115" s="67">
        <f>COUNTIF(Tabla1[Pedido],Productos_frec_tabla[[#This Row],[Productoos]])</f>
        <v>0</v>
      </c>
      <c r="D115" s="67" t="str">
        <f>PROPER(Productos_frec_tabla[[#This Row],[Productoos]])</f>
        <v xml:space="preserve"> Garrafones De Bonafontn 10L</v>
      </c>
      <c r="E115" s="67" t="str">
        <f>PROPER(Productos_frec_tabla[[#This Row],[Productoos]])</f>
        <v xml:space="preserve"> Garrafones De Bonafontn 10L</v>
      </c>
      <c r="F115" s="67">
        <f>COUNTIF(Productos_frec_tabla[Columna1],Productos_frec_tabla[[#This Row],[Columna12]])</f>
        <v>1</v>
      </c>
      <c r="Y115" t="str">
        <v xml:space="preserve"> pan dulce</v>
      </c>
      <c r="Z115" t="s">
        <v>680</v>
      </c>
    </row>
    <row r="116" spans="2:26" x14ac:dyDescent="0.25">
      <c r="B116" s="67" t="s">
        <v>714</v>
      </c>
      <c r="C116" s="67">
        <f>COUNTIF(Tabla1[Pedido],Productos_frec_tabla[[#This Row],[Productoos]])</f>
        <v>0</v>
      </c>
      <c r="D116" s="67" t="str">
        <f>PROPER(Productos_frec_tabla[[#This Row],[Productoos]])</f>
        <v xml:space="preserve"> Gelatinas Yakul</v>
      </c>
      <c r="E116" s="67" t="str">
        <f>PROPER(Productos_frec_tabla[[#This Row],[Productoos]])</f>
        <v xml:space="preserve"> Gelatinas Yakul</v>
      </c>
      <c r="F116" s="67">
        <f>COUNTIF(Productos_frec_tabla[Columna1],Productos_frec_tabla[[#This Row],[Columna12]])</f>
        <v>1</v>
      </c>
      <c r="Y116" t="str">
        <v xml:space="preserve"> pan molido </v>
      </c>
      <c r="Z116" t="s">
        <v>654</v>
      </c>
    </row>
    <row r="117" spans="2:26" x14ac:dyDescent="0.25">
      <c r="B117" s="67" t="s">
        <v>733</v>
      </c>
      <c r="C117" s="67">
        <f>COUNTIF(Tabla1[Pedido],Productos_frec_tabla[[#This Row],[Productoos]])</f>
        <v>0</v>
      </c>
      <c r="D117" s="67" t="str">
        <f>PROPER(Productos_frec_tabla[[#This Row],[Productoos]])</f>
        <v xml:space="preserve"> Hamburgesas </v>
      </c>
      <c r="E117" s="67" t="str">
        <f>PROPER(Productos_frec_tabla[[#This Row],[Productoos]])</f>
        <v xml:space="preserve"> Hamburgesas </v>
      </c>
      <c r="F117" s="67">
        <f>COUNTIF(Productos_frec_tabla[Columna1],Productos_frec_tabla[[#This Row],[Columna12]])</f>
        <v>1</v>
      </c>
      <c r="Y117" t="str">
        <v xml:space="preserve"> papas</v>
      </c>
      <c r="Z117" t="s">
        <v>642</v>
      </c>
    </row>
    <row r="118" spans="2:26" x14ac:dyDescent="0.25">
      <c r="B118" s="69" t="s">
        <v>601</v>
      </c>
      <c r="C118" s="67">
        <f>COUNTIF(Tabla1[Pedido],Productos_frec_tabla[[#This Row],[Productoos]])</f>
        <v>0</v>
      </c>
      <c r="D118" s="67" t="str">
        <f>PROPER(Productos_frec_tabla[[#This Row],[Productoos]])</f>
        <v xml:space="preserve"> Jarrito</v>
      </c>
      <c r="E118" s="67" t="str">
        <f>PROPER(Productos_frec_tabla[[#This Row],[Productoos]])</f>
        <v xml:space="preserve"> Jarrito</v>
      </c>
      <c r="F118" s="67">
        <f>COUNTIF(Productos_frec_tabla[Columna1],Productos_frec_tabla[[#This Row],[Columna12]])</f>
        <v>1</v>
      </c>
      <c r="Y118" t="str">
        <v xml:space="preserve"> papas Sabritas amarillas</v>
      </c>
      <c r="Z118" t="s">
        <v>741</v>
      </c>
    </row>
    <row r="119" spans="2:26" x14ac:dyDescent="0.25">
      <c r="B119" s="67" t="s">
        <v>647</v>
      </c>
      <c r="C119" s="67">
        <f>COUNTIF(Tabla1[Pedido],Productos_frec_tabla[[#This Row],[Productoos]])</f>
        <v>0</v>
      </c>
      <c r="D119" s="67" t="str">
        <f>PROPER(Productos_frec_tabla[[#This Row],[Productoos]])</f>
        <v xml:space="preserve"> Jarrito 2L</v>
      </c>
      <c r="E119" s="67" t="str">
        <f>PROPER(Productos_frec_tabla[[#This Row],[Productoos]])</f>
        <v xml:space="preserve"> Jarrito 2L</v>
      </c>
      <c r="F119" s="67">
        <f>COUNTIF(Productos_frec_tabla[Columna1],Productos_frec_tabla[[#This Row],[Columna12]])</f>
        <v>1</v>
      </c>
      <c r="Y119" t="str">
        <v xml:space="preserve"> paquete de medias noches</v>
      </c>
      <c r="Z119" t="s">
        <v>759</v>
      </c>
    </row>
    <row r="120" spans="2:26" x14ac:dyDescent="0.25">
      <c r="B120" s="67" t="s">
        <v>674</v>
      </c>
      <c r="C120" s="67">
        <f>COUNTIF(Tabla1[Pedido],Productos_frec_tabla[[#This Row],[Productoos]])</f>
        <v>0</v>
      </c>
      <c r="D120" s="67" t="str">
        <f>PROPER(Productos_frec_tabla[[#This Row],[Productoos]])</f>
        <v xml:space="preserve"> Kg De Tortillas </v>
      </c>
      <c r="E120" s="67" t="str">
        <f>PROPER(Productos_frec_tabla[[#This Row],[Productoos]])</f>
        <v xml:space="preserve"> Kg De Tortillas </v>
      </c>
      <c r="F120" s="67">
        <f>COUNTIF(Productos_frec_tabla[Columna1],Productos_frec_tabla[[#This Row],[Columna12]])</f>
        <v>1</v>
      </c>
      <c r="Y120" t="str">
        <v xml:space="preserve"> paquete de salchichas para hotdog</v>
      </c>
      <c r="Z120" t="s">
        <v>756</v>
      </c>
    </row>
    <row r="121" spans="2:26" x14ac:dyDescent="0.25">
      <c r="B121" s="67" t="s">
        <v>639</v>
      </c>
      <c r="C121" s="67">
        <f>COUNTIF(Tabla1[Pedido],Productos_frec_tabla[[#This Row],[Productoos]])</f>
        <v>0</v>
      </c>
      <c r="D121" s="67" t="str">
        <f>PROPER(Productos_frec_tabla[[#This Row],[Productoos]])</f>
        <v xml:space="preserve"> Kg Huevo</v>
      </c>
      <c r="E121" s="67" t="str">
        <f>PROPER(Productos_frec_tabla[[#This Row],[Productoos]])</f>
        <v xml:space="preserve"> Kg Huevo</v>
      </c>
      <c r="F121" s="67">
        <f>COUNTIF(Productos_frec_tabla[Columna1],Productos_frec_tabla[[#This Row],[Columna12]])</f>
        <v>1</v>
      </c>
      <c r="Y121" t="str">
        <v xml:space="preserve"> paquetes de mantecadas</v>
      </c>
      <c r="Z121" t="s">
        <v>679</v>
      </c>
    </row>
    <row r="122" spans="2:26" x14ac:dyDescent="0.25">
      <c r="B122" s="67" t="s">
        <v>746</v>
      </c>
      <c r="C122" s="67">
        <f>COUNTIF(Tabla1[Pedido],Productos_frec_tabla[[#This Row],[Productoos]])</f>
        <v>0</v>
      </c>
      <c r="D122" s="67" t="str">
        <f>PROPER(Productos_frec_tabla[[#This Row],[Productoos]])</f>
        <v xml:space="preserve"> Kinder Delice</v>
      </c>
      <c r="E122" s="67" t="str">
        <f>PROPER(Productos_frec_tabla[[#This Row],[Productoos]])</f>
        <v xml:space="preserve"> Kinder Delice</v>
      </c>
      <c r="F122" s="67">
        <f>COUNTIF(Productos_frec_tabla[Columna1],Productos_frec_tabla[[#This Row],[Columna12]])</f>
        <v>1</v>
      </c>
      <c r="Y122" t="str">
        <v xml:space="preserve"> paquetre de salchicchas pavo  food </v>
      </c>
      <c r="Z122" t="s">
        <v>602</v>
      </c>
    </row>
    <row r="123" spans="2:26" x14ac:dyDescent="0.25">
      <c r="B123" s="67" t="s">
        <v>644</v>
      </c>
      <c r="C123" s="67">
        <f>COUNTIF(Tabla1[Pedido],Productos_frec_tabla[[#This Row],[Productoos]])</f>
        <v>0</v>
      </c>
      <c r="D123" s="67" t="str">
        <f>PROPER(Productos_frec_tabla[[#This Row],[Productoos]])</f>
        <v xml:space="preserve"> Lata</v>
      </c>
      <c r="E123" s="67" t="str">
        <f>PROPER(Productos_frec_tabla[[#This Row],[Productoos]])</f>
        <v xml:space="preserve"> Lata</v>
      </c>
      <c r="F123" s="67">
        <f>COUNTIF(Productos_frec_tabla[Columna1],Productos_frec_tabla[[#This Row],[Columna12]])</f>
        <v>1</v>
      </c>
      <c r="Y123" t="str">
        <v xml:space="preserve"> pepinos</v>
      </c>
      <c r="Z123" t="s">
        <v>704</v>
      </c>
    </row>
    <row r="124" spans="2:26" x14ac:dyDescent="0.25">
      <c r="B124" s="67" t="s">
        <v>666</v>
      </c>
      <c r="C124" s="67">
        <f>COUNTIF(Tabla1[Pedido],Productos_frec_tabla[[#This Row],[Productoos]])</f>
        <v>0</v>
      </c>
      <c r="D124" s="67" t="str">
        <f>PROPER(Productos_frec_tabla[[#This Row],[Productoos]])</f>
        <v xml:space="preserve"> Lata Dew Frijoles</v>
      </c>
      <c r="E124" s="67" t="str">
        <f>PROPER(Productos_frec_tabla[[#This Row],[Productoos]])</f>
        <v xml:space="preserve"> Lata Dew Frijoles</v>
      </c>
      <c r="F124" s="67">
        <f>COUNTIF(Productos_frec_tabla[Columna1],Productos_frec_tabla[[#This Row],[Columna12]])</f>
        <v>1</v>
      </c>
      <c r="Y124" t="str">
        <v xml:space="preserve"> platanos </v>
      </c>
      <c r="Z124" t="s">
        <v>773</v>
      </c>
    </row>
    <row r="125" spans="2:26" x14ac:dyDescent="0.25">
      <c r="B125" s="67" t="s">
        <v>660</v>
      </c>
      <c r="C125" s="67">
        <f>COUNTIF(Tabla1[Pedido],Productos_frec_tabla[[#This Row],[Productoos]])</f>
        <v>0</v>
      </c>
      <c r="D125" s="67" t="str">
        <f>PROPER(Productos_frec_tabla[[#This Row],[Productoos]])</f>
        <v xml:space="preserve"> Lechera</v>
      </c>
      <c r="E125" s="67" t="str">
        <f>PROPER(Productos_frec_tabla[[#This Row],[Productoos]])</f>
        <v xml:space="preserve"> Lechera</v>
      </c>
      <c r="F125" s="67">
        <f>COUNTIF(Productos_frec_tabla[Columna1],Productos_frec_tabla[[#This Row],[Columna12]])</f>
        <v>1</v>
      </c>
      <c r="Y125" t="str">
        <v xml:space="preserve"> rancheritos</v>
      </c>
      <c r="Z125" t="s">
        <v>745</v>
      </c>
    </row>
    <row r="126" spans="2:26" x14ac:dyDescent="0.25">
      <c r="B126" s="67" t="s">
        <v>757</v>
      </c>
      <c r="C126" s="67">
        <f>COUNTIF(Tabla1[Pedido],Productos_frec_tabla[[#This Row],[Productoos]])</f>
        <v>0</v>
      </c>
      <c r="D126" s="67" t="str">
        <f>PROPER(Productos_frec_tabla[[#This Row],[Productoos]])</f>
        <v xml:space="preserve"> Litro De Leche Alpura</v>
      </c>
      <c r="E126" s="67" t="str">
        <f>PROPER(Productos_frec_tabla[[#This Row],[Productoos]])</f>
        <v xml:space="preserve"> Litro De Leche Alpura</v>
      </c>
      <c r="F126" s="67">
        <f>COUNTIF(Productos_frec_tabla[Columna1],Productos_frec_tabla[[#This Row],[Columna12]])</f>
        <v>1</v>
      </c>
      <c r="Y126" t="str">
        <v xml:space="preserve"> refrescos de 600 mordisco </v>
      </c>
      <c r="Z126" t="s">
        <v>713</v>
      </c>
    </row>
    <row r="127" spans="2:26" x14ac:dyDescent="0.25">
      <c r="B127" s="67" t="s">
        <v>500</v>
      </c>
      <c r="C127" s="67">
        <f>COUNTIF(Tabla1[Pedido],Productos_frec_tabla[[#This Row],[Productoos]])</f>
        <v>0</v>
      </c>
      <c r="D127" s="67" t="str">
        <f>PROPER(Productos_frec_tabla[[#This Row],[Productoos]])</f>
        <v xml:space="preserve"> Llevar Su Ropa A La Tintoreria</v>
      </c>
      <c r="E127" s="67" t="str">
        <f>PROPER(Productos_frec_tabla[[#This Row],[Productoos]])</f>
        <v xml:space="preserve"> Llevar Su Ropa A La Tintoreria</v>
      </c>
      <c r="F127" s="67">
        <f>COUNTIF(Productos_frec_tabla[Columna1],Productos_frec_tabla[[#This Row],[Columna12]])</f>
        <v>1</v>
      </c>
      <c r="Y127" t="str">
        <v xml:space="preserve"> sabritas originales </v>
      </c>
      <c r="Z127" t="s">
        <v>702</v>
      </c>
    </row>
    <row r="128" spans="2:26" x14ac:dyDescent="0.25">
      <c r="B128" s="67" t="s">
        <v>678</v>
      </c>
      <c r="C128" s="67">
        <f>COUNTIF(Tabla1[Pedido],Productos_frec_tabla[[#This Row],[Productoos]])</f>
        <v>0</v>
      </c>
      <c r="D128" s="67" t="str">
        <f>PROPER(Productos_frec_tabla[[#This Row],[Productoos]])</f>
        <v xml:space="preserve"> M1Pechiuga 1Kg De Muslo Y Pierna </v>
      </c>
      <c r="E128" s="67" t="str">
        <f>PROPER(Productos_frec_tabla[[#This Row],[Productoos]])</f>
        <v xml:space="preserve"> M1Pechiuga 1Kg De Muslo Y Pierna </v>
      </c>
      <c r="F128" s="67">
        <f>COUNTIF(Productos_frec_tabla[Columna1],Productos_frec_tabla[[#This Row],[Columna12]])</f>
        <v>1</v>
      </c>
      <c r="Y128" t="str">
        <v xml:space="preserve"> sazonador</v>
      </c>
      <c r="Z128" t="s">
        <v>562</v>
      </c>
    </row>
    <row r="129" spans="2:26" x14ac:dyDescent="0.25">
      <c r="B129" s="67" t="s">
        <v>645</v>
      </c>
      <c r="C129" s="67">
        <f>COUNTIF(Tabla1[Pedido],Productos_frec_tabla[[#This Row],[Productoos]])</f>
        <v>0</v>
      </c>
      <c r="D129" s="67" t="str">
        <f>PROPER(Productos_frec_tabla[[#This Row],[Productoos]])</f>
        <v xml:space="preserve"> Mango</v>
      </c>
      <c r="E129" s="67" t="str">
        <f>PROPER(Productos_frec_tabla[[#This Row],[Productoos]])</f>
        <v xml:space="preserve"> Mango</v>
      </c>
      <c r="F129" s="67">
        <f>COUNTIF(Productos_frec_tabla[Columna1],Productos_frec_tabla[[#This Row],[Columna12]])</f>
        <v>1</v>
      </c>
      <c r="Y129" t="str">
        <v xml:space="preserve"> servicio extra </v>
      </c>
      <c r="Z129" t="s">
        <v>670</v>
      </c>
    </row>
    <row r="130" spans="2:26" x14ac:dyDescent="0.25">
      <c r="B130" s="69" t="s">
        <v>686</v>
      </c>
      <c r="C130" s="67">
        <f>COUNTIF(Tabla1[Pedido],Productos_frec_tabla[[#This Row],[Productoos]])</f>
        <v>0</v>
      </c>
      <c r="D130" s="67" t="str">
        <f>PROPER(Productos_frec_tabla[[#This Row],[Productoos]])</f>
        <v xml:space="preserve"> Mangos</v>
      </c>
      <c r="E130" s="67" t="str">
        <f>PROPER(Productos_frec_tabla[[#This Row],[Productoos]])</f>
        <v xml:space="preserve"> Mangos</v>
      </c>
      <c r="F130" s="67">
        <f>COUNTIF(Productos_frec_tabla[Columna1],Productos_frec_tabla[[#This Row],[Columna12]])</f>
        <v>1</v>
      </c>
      <c r="Y130" t="str">
        <v xml:space="preserve"> suavitel</v>
      </c>
      <c r="Z130" t="s">
        <v>608</v>
      </c>
    </row>
    <row r="131" spans="2:26" x14ac:dyDescent="0.25">
      <c r="B131" s="69" t="s">
        <v>687</v>
      </c>
      <c r="C131" s="67">
        <f>COUNTIF(Tabla1[Pedido],Productos_frec_tabla[[#This Row],[Productoos]])</f>
        <v>0</v>
      </c>
      <c r="D131" s="67" t="str">
        <f>PROPER(Productos_frec_tabla[[#This Row],[Productoos]])</f>
        <v xml:space="preserve"> Manzanas</v>
      </c>
      <c r="E131" s="67" t="str">
        <f>PROPER(Productos_frec_tabla[[#This Row],[Productoos]])</f>
        <v xml:space="preserve"> Manzanas</v>
      </c>
      <c r="F131" s="67">
        <f>COUNTIF(Productos_frec_tabla[Columna1],Productos_frec_tabla[[#This Row],[Columna12]])</f>
        <v>1</v>
      </c>
      <c r="Y131" t="str">
        <v xml:space="preserve"> Suavitel azul</v>
      </c>
      <c r="Z131" t="s">
        <v>758</v>
      </c>
    </row>
    <row r="132" spans="2:26" x14ac:dyDescent="0.25">
      <c r="B132" s="67" t="s">
        <v>643</v>
      </c>
      <c r="C132" s="67">
        <f>COUNTIF(Tabla1[Pedido],Productos_frec_tabla[[#This Row],[Productoos]])</f>
        <v>0</v>
      </c>
      <c r="D132" s="67" t="str">
        <f>PROPER(Productos_frec_tabla[[#This Row],[Productoos]])</f>
        <v xml:space="preserve"> Marucha De Pollo</v>
      </c>
      <c r="E132" s="67" t="str">
        <f>PROPER(Productos_frec_tabla[[#This Row],[Productoos]])</f>
        <v xml:space="preserve"> Marucha De Pollo</v>
      </c>
      <c r="F132" s="67">
        <f>COUNTIF(Productos_frec_tabla[Columna1],Productos_frec_tabla[[#This Row],[Columna12]])</f>
        <v>1</v>
      </c>
      <c r="Y132" t="str">
        <v xml:space="preserve"> submarinos de fresa</v>
      </c>
      <c r="Z132" t="s">
        <v>744</v>
      </c>
    </row>
    <row r="133" spans="2:26" x14ac:dyDescent="0.25">
      <c r="B133" s="67" t="s">
        <v>637</v>
      </c>
      <c r="C133" s="67">
        <f>COUNTIF(Tabla1[Pedido],Productos_frec_tabla[[#This Row],[Productoos]])</f>
        <v>0</v>
      </c>
      <c r="D133" s="67" t="str">
        <f>PROPER(Productos_frec_tabla[[#This Row],[Productoos]])</f>
        <v xml:space="preserve"> Mineral</v>
      </c>
      <c r="E133" s="67" t="str">
        <f>PROPER(Productos_frec_tabla[[#This Row],[Productoos]])</f>
        <v xml:space="preserve"> Mineral</v>
      </c>
      <c r="F133" s="67">
        <f>COUNTIF(Productos_frec_tabla[Columna1],Productos_frec_tabla[[#This Row],[Columna12]])</f>
        <v>1</v>
      </c>
      <c r="Y133" t="str">
        <v xml:space="preserve"> takis dragon si no hay morados </v>
      </c>
      <c r="Z133" t="s">
        <v>635</v>
      </c>
    </row>
    <row r="134" spans="2:26" x14ac:dyDescent="0.25">
      <c r="B134" s="67" t="s">
        <v>658</v>
      </c>
      <c r="C134" s="67">
        <f>COUNTIF(Tabla1[Pedido],Productos_frec_tabla[[#This Row],[Productoos]])</f>
        <v>0</v>
      </c>
      <c r="D134" s="67" t="str">
        <f>PROPER(Productos_frec_tabla[[#This Row],[Productoos]])</f>
        <v xml:space="preserve"> Mineral 2L</v>
      </c>
      <c r="E134" s="67" t="str">
        <f>PROPER(Productos_frec_tabla[[#This Row],[Productoos]])</f>
        <v xml:space="preserve"> Mineral 2L</v>
      </c>
      <c r="F134" s="67">
        <f>COUNTIF(Productos_frec_tabla[Columna1],Productos_frec_tabla[[#This Row],[Columna12]])</f>
        <v>1</v>
      </c>
      <c r="Y134" t="str">
        <v xml:space="preserve"> Tehuacán de a 600</v>
      </c>
      <c r="Z134" t="s">
        <v>768</v>
      </c>
    </row>
    <row r="135" spans="2:26" x14ac:dyDescent="0.25">
      <c r="B135" s="67" t="s">
        <v>710</v>
      </c>
      <c r="C135" s="67">
        <f>COUNTIF(Tabla1[Pedido],Productos_frec_tabla[[#This Row],[Productoos]])</f>
        <v>0</v>
      </c>
      <c r="D135" s="67" t="str">
        <f>PROPER(Productos_frec_tabla[[#This Row],[Productoos]])</f>
        <v xml:space="preserve"> Moños Medianos Azules</v>
      </c>
      <c r="E135" s="67" t="str">
        <f>PROPER(Productos_frec_tabla[[#This Row],[Productoos]])</f>
        <v xml:space="preserve"> Moños Medianos Azules</v>
      </c>
      <c r="F135" s="67">
        <f>COUNTIF(Productos_frec_tabla[Columna1],Productos_frec_tabla[[#This Row],[Columna12]])</f>
        <v>1</v>
      </c>
      <c r="Y135" t="str">
        <v xml:space="preserve"> tortas de milanesa con salchica</v>
      </c>
      <c r="Z135" t="s">
        <v>681</v>
      </c>
    </row>
    <row r="136" spans="2:26" x14ac:dyDescent="0.25">
      <c r="B136" s="67" t="s">
        <v>655</v>
      </c>
      <c r="C136" s="67">
        <f>COUNTIF(Tabla1[Pedido],Productos_frec_tabla[[#This Row],[Productoos]])</f>
        <v>0</v>
      </c>
      <c r="D136" s="67" t="str">
        <f>PROPER(Productos_frec_tabla[[#This Row],[Productoos]])</f>
        <v xml:space="preserve"> Mundet De 3L</v>
      </c>
      <c r="E136" s="67" t="str">
        <f>PROPER(Productos_frec_tabla[[#This Row],[Productoos]])</f>
        <v xml:space="preserve"> Mundet De 3L</v>
      </c>
      <c r="F136" s="67">
        <f>COUNTIF(Productos_frec_tabla[Columna1],Productos_frec_tabla[[#This Row],[Columna12]])</f>
        <v>1</v>
      </c>
      <c r="Y136" t="str">
        <v xml:space="preserve"> tostadas</v>
      </c>
      <c r="Z136" t="s">
        <v>646</v>
      </c>
    </row>
    <row r="137" spans="2:26" x14ac:dyDescent="0.25">
      <c r="B137" s="69" t="s">
        <v>683</v>
      </c>
      <c r="C137" s="67">
        <f>COUNTIF(Tabla1[Pedido],Productos_frec_tabla[[#This Row],[Productoos]])</f>
        <v>0</v>
      </c>
      <c r="D137" s="67" t="str">
        <f>PROPER(Productos_frec_tabla[[#This Row],[Productoos]])</f>
        <v xml:space="preserve"> Muslos En Forma De Bistec</v>
      </c>
      <c r="E137" s="67" t="str">
        <f>PROPER(Productos_frec_tabla[[#This Row],[Productoos]])</f>
        <v xml:space="preserve"> Muslos En Forma De Bistec</v>
      </c>
      <c r="F137" s="67">
        <f>COUNTIF(Productos_frec_tabla[Columna1],Productos_frec_tabla[[#This Row],[Columna12]])</f>
        <v>1</v>
      </c>
      <c r="Y137" t="str">
        <v xml:space="preserve"> tostadas salmas</v>
      </c>
      <c r="Z137" t="s">
        <v>486</v>
      </c>
    </row>
    <row r="138" spans="2:26" x14ac:dyDescent="0.25">
      <c r="B138" s="67" t="s">
        <v>695</v>
      </c>
      <c r="C138" s="67">
        <f>COUNTIF(Tabla1[Pedido],Productos_frec_tabla[[#This Row],[Productoos]])</f>
        <v>0</v>
      </c>
      <c r="D138" s="67" t="str">
        <f>PROPER(Productos_frec_tabla[[#This Row],[Productoos]])</f>
        <v xml:space="preserve"> Paletas De Hielo </v>
      </c>
      <c r="E138" s="67" t="str">
        <f>PROPER(Productos_frec_tabla[[#This Row],[Productoos]])</f>
        <v xml:space="preserve"> Paletas De Hielo </v>
      </c>
      <c r="F138" s="67">
        <f>COUNTIF(Productos_frec_tabla[Columna1],Productos_frec_tabla[[#This Row],[Columna12]])</f>
        <v>1</v>
      </c>
      <c r="Y138" t="str">
        <v xml:space="preserve"> tuboi fde trikitrakets</v>
      </c>
      <c r="Z138" t="s">
        <v>505</v>
      </c>
    </row>
    <row r="139" spans="2:26" x14ac:dyDescent="0.25">
      <c r="B139" s="67" t="s">
        <v>661</v>
      </c>
      <c r="C139" s="67">
        <f>COUNTIF(Tabla1[Pedido],Productos_frec_tabla[[#This Row],[Productoos]])</f>
        <v>0</v>
      </c>
      <c r="D139" s="67" t="str">
        <f>PROPER(Productos_frec_tabla[[#This Row],[Productoos]])</f>
        <v xml:space="preserve"> Pan Bimbo Chico</v>
      </c>
      <c r="E139" s="67" t="str">
        <f>PROPER(Productos_frec_tabla[[#This Row],[Productoos]])</f>
        <v xml:space="preserve"> Pan Bimbo Chico</v>
      </c>
      <c r="F139" s="67">
        <f>COUNTIF(Productos_frec_tabla[Columna1],Productos_frec_tabla[[#This Row],[Columna12]])</f>
        <v>1</v>
      </c>
      <c r="Y139" t="str">
        <v xml:space="preserve"> valentia</v>
      </c>
      <c r="Z139" t="s">
        <v>653</v>
      </c>
    </row>
    <row r="140" spans="2:26" x14ac:dyDescent="0.25">
      <c r="B140" s="69" t="s">
        <v>680</v>
      </c>
      <c r="C140" s="67">
        <f>COUNTIF(Tabla1[Pedido],Productos_frec_tabla[[#This Row],[Productoos]])</f>
        <v>0</v>
      </c>
      <c r="D140" s="67" t="str">
        <f>PROPER(Productos_frec_tabla[[#This Row],[Productoos]])</f>
        <v xml:space="preserve"> Pan Dulce</v>
      </c>
      <c r="E140" s="67" t="str">
        <f>PROPER(Productos_frec_tabla[[#This Row],[Productoos]])</f>
        <v xml:space="preserve"> Pan Dulce</v>
      </c>
      <c r="F140" s="67">
        <f>COUNTIF(Productos_frec_tabla[Columna1],Productos_frec_tabla[[#This Row],[Columna12]])</f>
        <v>1</v>
      </c>
      <c r="Y140" t="str">
        <v>$1de tortillas</v>
      </c>
      <c r="Z140" t="s">
        <v>726</v>
      </c>
    </row>
    <row r="141" spans="2:26" x14ac:dyDescent="0.25">
      <c r="B141" s="67" t="s">
        <v>654</v>
      </c>
      <c r="C141" s="67">
        <f>COUNTIF(Tabla1[Pedido],Productos_frec_tabla[[#This Row],[Productoos]])</f>
        <v>0</v>
      </c>
      <c r="D141" s="67" t="str">
        <f>PROPER(Productos_frec_tabla[[#This Row],[Productoos]])</f>
        <v xml:space="preserve"> Pan Molido </v>
      </c>
      <c r="E141" s="67" t="str">
        <f>PROPER(Productos_frec_tabla[[#This Row],[Productoos]])</f>
        <v xml:space="preserve"> Pan Molido </v>
      </c>
      <c r="F141" s="67">
        <f>COUNTIF(Productos_frec_tabla[Columna1],Productos_frec_tabla[[#This Row],[Columna12]])</f>
        <v>1</v>
      </c>
      <c r="Y141" t="str">
        <v xml:space="preserve">0l de leche alpura </v>
      </c>
      <c r="Z141" t="s">
        <v>606</v>
      </c>
    </row>
    <row r="142" spans="2:26" x14ac:dyDescent="0.25">
      <c r="B142" s="67" t="s">
        <v>642</v>
      </c>
      <c r="C142" s="67">
        <f>COUNTIF(Tabla1[Pedido],Productos_frec_tabla[[#This Row],[Productoos]])</f>
        <v>0</v>
      </c>
      <c r="D142" s="67" t="str">
        <f>PROPER(Productos_frec_tabla[[#This Row],[Productoos]])</f>
        <v xml:space="preserve"> Papas</v>
      </c>
      <c r="E142" s="67" t="str">
        <f>PROPER(Productos_frec_tabla[[#This Row],[Productoos]])</f>
        <v xml:space="preserve"> Papas</v>
      </c>
      <c r="F142" s="67">
        <f>COUNTIF(Productos_frec_tabla[Columna1],Productos_frec_tabla[[#This Row],[Columna12]])</f>
        <v>1</v>
      </c>
      <c r="Y142" t="str">
        <v>1 kg de azucar</v>
      </c>
      <c r="Z142" t="s">
        <v>926</v>
      </c>
    </row>
    <row r="143" spans="2:26" x14ac:dyDescent="0.25">
      <c r="B143" s="67" t="s">
        <v>741</v>
      </c>
      <c r="C143" s="67">
        <f>COUNTIF(Tabla1[Pedido],Productos_frec_tabla[[#This Row],[Productoos]])</f>
        <v>0</v>
      </c>
      <c r="D143" s="67" t="str">
        <f>PROPER(Productos_frec_tabla[[#This Row],[Productoos]])</f>
        <v xml:space="preserve"> Papas Sabritas Amarillas</v>
      </c>
      <c r="E143" s="67" t="str">
        <f>PROPER(Productos_frec_tabla[[#This Row],[Productoos]])</f>
        <v xml:space="preserve"> Papas Sabritas Amarillas</v>
      </c>
      <c r="F143" s="67">
        <f>COUNTIF(Productos_frec_tabla[Columna1],Productos_frec_tabla[[#This Row],[Columna12]])</f>
        <v>1</v>
      </c>
      <c r="Y143" t="str">
        <v>1 kg de cilantro</v>
      </c>
      <c r="Z143" t="s">
        <v>927</v>
      </c>
    </row>
    <row r="144" spans="2:26" x14ac:dyDescent="0.25">
      <c r="B144" s="67" t="s">
        <v>759</v>
      </c>
      <c r="C144" s="67">
        <f>COUNTIF(Tabla1[Pedido],Productos_frec_tabla[[#This Row],[Productoos]])</f>
        <v>0</v>
      </c>
      <c r="D144" s="67" t="str">
        <f>PROPER(Productos_frec_tabla[[#This Row],[Productoos]])</f>
        <v xml:space="preserve"> Paquete De Medias Noches</v>
      </c>
      <c r="E144" s="67" t="str">
        <f>PROPER(Productos_frec_tabla[[#This Row],[Productoos]])</f>
        <v xml:space="preserve"> Paquete De Medias Noches</v>
      </c>
      <c r="F144" s="67">
        <f>COUNTIF(Productos_frec_tabla[Columna1],Productos_frec_tabla[[#This Row],[Columna12]])</f>
        <v>1</v>
      </c>
      <c r="Y144" t="str">
        <v>1 kg de jamón</v>
      </c>
      <c r="Z144" t="s">
        <v>928</v>
      </c>
    </row>
    <row r="145" spans="2:26" x14ac:dyDescent="0.25">
      <c r="B145" s="67" t="s">
        <v>756</v>
      </c>
      <c r="C145" s="67">
        <f>COUNTIF(Tabla1[Pedido],Productos_frec_tabla[[#This Row],[Productoos]])</f>
        <v>0</v>
      </c>
      <c r="D145" s="67" t="str">
        <f>PROPER(Productos_frec_tabla[[#This Row],[Productoos]])</f>
        <v xml:space="preserve"> Paquete De Salchichas Para Hotdog</v>
      </c>
      <c r="E145" s="67" t="str">
        <f>PROPER(Productos_frec_tabla[[#This Row],[Productoos]])</f>
        <v xml:space="preserve"> Paquete De Salchichas Para Hotdog</v>
      </c>
      <c r="F145" s="67">
        <f>COUNTIF(Productos_frec_tabla[Columna1],Productos_frec_tabla[[#This Row],[Columna12]])</f>
        <v>1</v>
      </c>
      <c r="Y145" t="str">
        <v>1 kg de tortillas</v>
      </c>
      <c r="Z145" t="s">
        <v>938</v>
      </c>
    </row>
    <row r="146" spans="2:26" x14ac:dyDescent="0.25">
      <c r="B146" s="69" t="s">
        <v>679</v>
      </c>
      <c r="C146" s="67">
        <f>COUNTIF(Tabla1[Pedido],Productos_frec_tabla[[#This Row],[Productoos]])</f>
        <v>0</v>
      </c>
      <c r="D146" s="67" t="str">
        <f>PROPER(Productos_frec_tabla[[#This Row],[Productoos]])</f>
        <v xml:space="preserve"> Paquetes De Mantecadas</v>
      </c>
      <c r="E146" s="67" t="str">
        <f>PROPER(Productos_frec_tabla[[#This Row],[Productoos]])</f>
        <v xml:space="preserve"> Paquetes De Mantecadas</v>
      </c>
      <c r="F146" s="67">
        <f>COUNTIF(Productos_frec_tabla[Columna1],Productos_frec_tabla[[#This Row],[Columna12]])</f>
        <v>1</v>
      </c>
      <c r="Y146" t="str">
        <v>1 kg tortillas</v>
      </c>
      <c r="Z146" t="s">
        <v>937</v>
      </c>
    </row>
    <row r="147" spans="2:26" x14ac:dyDescent="0.25">
      <c r="B147" s="69" t="s">
        <v>602</v>
      </c>
      <c r="C147" s="67">
        <f>COUNTIF(Tabla1[Pedido],Productos_frec_tabla[[#This Row],[Productoos]])</f>
        <v>0</v>
      </c>
      <c r="D147" s="67" t="str">
        <f>PROPER(Productos_frec_tabla[[#This Row],[Productoos]])</f>
        <v xml:space="preserve"> Paquetre De Salchicchas Pavo  Food </v>
      </c>
      <c r="E147" s="67" t="str">
        <f>PROPER(Productos_frec_tabla[[#This Row],[Productoos]])</f>
        <v xml:space="preserve"> Paquetre De Salchicchas Pavo  Food </v>
      </c>
      <c r="F147" s="67">
        <f>COUNTIF(Productos_frec_tabla[Columna1],Productos_frec_tabla[[#This Row],[Columna12]])</f>
        <v>1</v>
      </c>
      <c r="Y147" t="str">
        <v>1/2 de chuleta</v>
      </c>
      <c r="Z147" t="s">
        <v>495</v>
      </c>
    </row>
    <row r="148" spans="2:26" x14ac:dyDescent="0.25">
      <c r="B148" s="67" t="s">
        <v>704</v>
      </c>
      <c r="C148" s="67">
        <f>COUNTIF(Tabla1[Pedido],Productos_frec_tabla[[#This Row],[Productoos]])</f>
        <v>0</v>
      </c>
      <c r="D148" s="67" t="str">
        <f>PROPER(Productos_frec_tabla[[#This Row],[Productoos]])</f>
        <v xml:space="preserve"> Pepinos</v>
      </c>
      <c r="E148" s="67" t="str">
        <f>PROPER(Productos_frec_tabla[[#This Row],[Productoos]])</f>
        <v xml:space="preserve"> Pepinos</v>
      </c>
      <c r="F148" s="67">
        <f>COUNTIF(Productos_frec_tabla[Columna1],Productos_frec_tabla[[#This Row],[Columna12]])</f>
        <v>1</v>
      </c>
      <c r="Y148" t="str">
        <v xml:space="preserve">1/2 de crema </v>
      </c>
      <c r="Z148" t="s">
        <v>930</v>
      </c>
    </row>
    <row r="149" spans="2:26" x14ac:dyDescent="0.25">
      <c r="B149" s="67" t="s">
        <v>773</v>
      </c>
      <c r="C149" s="67">
        <f>COUNTIF(Tabla1[Pedido],Productos_frec_tabla[[#This Row],[Productoos]])</f>
        <v>0</v>
      </c>
      <c r="D149" s="67" t="str">
        <f>PROPER(Productos_frec_tabla[[#This Row],[Productoos]])</f>
        <v xml:space="preserve"> Platanos </v>
      </c>
      <c r="E149" s="67" t="str">
        <f>PROPER(Productos_frec_tabla[[#This Row],[Productoos]])</f>
        <v xml:space="preserve"> Platanos </v>
      </c>
      <c r="F149" s="67">
        <f>COUNTIF(Productos_frec_tabla[Columna1],Productos_frec_tabla[[#This Row],[Columna12]])</f>
        <v>1</v>
      </c>
      <c r="Y149" t="str">
        <v>1/2 de crema 1/2de queso</v>
      </c>
      <c r="Z149" t="s">
        <v>720</v>
      </c>
    </row>
    <row r="150" spans="2:26" x14ac:dyDescent="0.25">
      <c r="B150" s="67" t="s">
        <v>745</v>
      </c>
      <c r="C150" s="67">
        <f>COUNTIF(Tabla1[Pedido],Productos_frec_tabla[[#This Row],[Productoos]])</f>
        <v>0</v>
      </c>
      <c r="D150" s="67" t="str">
        <f>PROPER(Productos_frec_tabla[[#This Row],[Productoos]])</f>
        <v xml:space="preserve"> Rancheritos</v>
      </c>
      <c r="E150" s="67" t="str">
        <f>PROPER(Productos_frec_tabla[[#This Row],[Productoos]])</f>
        <v xml:space="preserve"> Rancheritos</v>
      </c>
      <c r="F150" s="67">
        <f>COUNTIF(Productos_frec_tabla[Columna1],Productos_frec_tabla[[#This Row],[Columna12]])</f>
        <v>1</v>
      </c>
      <c r="Y150" t="str">
        <v>1/2 de tortillas</v>
      </c>
      <c r="Z150" t="s">
        <v>496</v>
      </c>
    </row>
    <row r="151" spans="2:26" x14ac:dyDescent="0.25">
      <c r="B151" s="67" t="s">
        <v>713</v>
      </c>
      <c r="C151" s="67">
        <f>COUNTIF(Tabla1[Pedido],Productos_frec_tabla[[#This Row],[Productoos]])</f>
        <v>0</v>
      </c>
      <c r="D151" s="67" t="str">
        <f>PROPER(Productos_frec_tabla[[#This Row],[Productoos]])</f>
        <v xml:space="preserve"> Refrescos De 600 Mordisco </v>
      </c>
      <c r="E151" s="67" t="str">
        <f>PROPER(Productos_frec_tabla[[#This Row],[Productoos]])</f>
        <v xml:space="preserve"> Refrescos De 600 Mordisco </v>
      </c>
      <c r="F151" s="67">
        <f>COUNTIF(Productos_frec_tabla[Columna1],Productos_frec_tabla[[#This Row],[Columna12]])</f>
        <v>1</v>
      </c>
      <c r="Y151" t="str">
        <v>1/2 Kg de bisteck</v>
      </c>
      <c r="Z151" t="s">
        <v>784</v>
      </c>
    </row>
    <row r="152" spans="2:26" x14ac:dyDescent="0.25">
      <c r="B152" s="67" t="s">
        <v>702</v>
      </c>
      <c r="C152" s="67">
        <f>COUNTIF(Tabla1[Pedido],Productos_frec_tabla[[#This Row],[Productoos]])</f>
        <v>0</v>
      </c>
      <c r="D152" s="67" t="str">
        <f>PROPER(Productos_frec_tabla[[#This Row],[Productoos]])</f>
        <v xml:space="preserve"> Sabritas Originales </v>
      </c>
      <c r="E152" s="67" t="str">
        <f>PROPER(Productos_frec_tabla[[#This Row],[Productoos]])</f>
        <v xml:space="preserve"> Sabritas Originales </v>
      </c>
      <c r="F152" s="67">
        <f>COUNTIF(Productos_frec_tabla[Columna1],Productos_frec_tabla[[#This Row],[Columna12]])</f>
        <v>1</v>
      </c>
      <c r="Y152" t="str">
        <v>1/2 kg de croqueta para gato</v>
      </c>
      <c r="Z152" t="s">
        <v>942</v>
      </c>
    </row>
    <row r="153" spans="2:26" x14ac:dyDescent="0.25">
      <c r="B153" s="67" t="s">
        <v>562</v>
      </c>
      <c r="C153" s="67">
        <f>COUNTIF(Tabla1[Pedido],Productos_frec_tabla[[#This Row],[Productoos]])</f>
        <v>0</v>
      </c>
      <c r="D153" s="67" t="str">
        <f>PROPER(Productos_frec_tabla[[#This Row],[Productoos]])</f>
        <v xml:space="preserve"> Sazonador</v>
      </c>
      <c r="E153" s="67" t="str">
        <f>PROPER(Productos_frec_tabla[[#This Row],[Productoos]])</f>
        <v xml:space="preserve"> Sazonador</v>
      </c>
      <c r="F153" s="67">
        <f>COUNTIF(Productos_frec_tabla[Columna1],Productos_frec_tabla[[#This Row],[Columna12]])</f>
        <v>1</v>
      </c>
      <c r="Y153" t="str">
        <v>1/2 kg de doble crema</v>
      </c>
      <c r="Z153" t="s">
        <v>944</v>
      </c>
    </row>
    <row r="154" spans="2:26" x14ac:dyDescent="0.25">
      <c r="B154" s="67" t="s">
        <v>670</v>
      </c>
      <c r="C154" s="67">
        <f>COUNTIF(Tabla1[Pedido],Productos_frec_tabla[[#This Row],[Productoos]])</f>
        <v>0</v>
      </c>
      <c r="D154" s="67" t="str">
        <f>PROPER(Productos_frec_tabla[[#This Row],[Productoos]])</f>
        <v xml:space="preserve"> Servicio Extra </v>
      </c>
      <c r="E154" s="67" t="str">
        <f>PROPER(Productos_frec_tabla[[#This Row],[Productoos]])</f>
        <v xml:space="preserve"> Servicio Extra </v>
      </c>
      <c r="F154" s="67">
        <f>COUNTIF(Productos_frec_tabla[Columna1],Productos_frec_tabla[[#This Row],[Columna12]])</f>
        <v>1</v>
      </c>
      <c r="Y154" t="str">
        <v>1/2 kg de longaniza</v>
      </c>
      <c r="Z154" t="s">
        <v>943</v>
      </c>
    </row>
    <row r="155" spans="2:26" x14ac:dyDescent="0.25">
      <c r="B155" s="69" t="s">
        <v>608</v>
      </c>
      <c r="C155" s="67">
        <f>COUNTIF(Tabla1[Pedido],Productos_frec_tabla[[#This Row],[Productoos]])</f>
        <v>0</v>
      </c>
      <c r="D155" s="67" t="str">
        <f>PROPER(Productos_frec_tabla[[#This Row],[Productoos]])</f>
        <v xml:space="preserve"> Suavitel</v>
      </c>
      <c r="E155" s="67" t="str">
        <f>PROPER(Productos_frec_tabla[[#This Row],[Productoos]])</f>
        <v xml:space="preserve"> Suavitel</v>
      </c>
      <c r="F155" s="67">
        <f>COUNTIF(Productos_frec_tabla[Columna1],Productos_frec_tabla[[#This Row],[Columna12]])</f>
        <v>1</v>
      </c>
      <c r="Y155" t="str">
        <v>14/ de queso crema</v>
      </c>
      <c r="Z155" t="s">
        <v>477</v>
      </c>
    </row>
    <row r="156" spans="2:26" x14ac:dyDescent="0.25">
      <c r="B156" s="67" t="s">
        <v>758</v>
      </c>
      <c r="C156" s="67">
        <f>COUNTIF(Tabla1[Pedido],Productos_frec_tabla[[#This Row],[Productoos]])</f>
        <v>0</v>
      </c>
      <c r="D156" s="67" t="str">
        <f>PROPER(Productos_frec_tabla[[#This Row],[Productoos]])</f>
        <v xml:space="preserve"> Suavitel Azul</v>
      </c>
      <c r="E156" s="67" t="str">
        <f>PROPER(Productos_frec_tabla[[#This Row],[Productoos]])</f>
        <v xml:space="preserve"> Suavitel Azul</v>
      </c>
      <c r="F156" s="67">
        <f>COUNTIF(Productos_frec_tabla[Columna1],Productos_frec_tabla[[#This Row],[Columna12]])</f>
        <v>1</v>
      </c>
      <c r="Y156" t="str">
        <v>1de tortillas pepsi 1.75</v>
      </c>
      <c r="Z156" t="s">
        <v>725</v>
      </c>
    </row>
    <row r="157" spans="2:26" x14ac:dyDescent="0.25">
      <c r="B157" s="67" t="s">
        <v>744</v>
      </c>
      <c r="C157" s="67">
        <f>COUNTIF(Tabla1[Pedido],Productos_frec_tabla[[#This Row],[Productoos]])</f>
        <v>0</v>
      </c>
      <c r="D157" s="67" t="str">
        <f>PROPER(Productos_frec_tabla[[#This Row],[Productoos]])</f>
        <v xml:space="preserve"> Submarinos De Fresa</v>
      </c>
      <c r="E157" s="67" t="str">
        <f>PROPER(Productos_frec_tabla[[#This Row],[Productoos]])</f>
        <v xml:space="preserve"> Submarinos De Fresa</v>
      </c>
      <c r="F157" s="67">
        <f>COUNTIF(Productos_frec_tabla[Columna1],Productos_frec_tabla[[#This Row],[Columna12]])</f>
        <v>1</v>
      </c>
      <c r="Y157" t="str">
        <v>1de totillas</v>
      </c>
      <c r="Z157" t="s">
        <v>731</v>
      </c>
    </row>
    <row r="158" spans="2:26" x14ac:dyDescent="0.25">
      <c r="B158" s="67" t="s">
        <v>635</v>
      </c>
      <c r="C158" s="67">
        <f>COUNTIF(Tabla1[Pedido],Productos_frec_tabla[[#This Row],[Productoos]])</f>
        <v>0</v>
      </c>
      <c r="D158" s="67" t="str">
        <f>PROPER(Productos_frec_tabla[[#This Row],[Productoos]])</f>
        <v xml:space="preserve"> Takis Dragon Si No Hay Morados </v>
      </c>
      <c r="E158" s="67" t="str">
        <f>PROPER(Productos_frec_tabla[[#This Row],[Productoos]])</f>
        <v xml:space="preserve"> Takis Dragon Si No Hay Morados </v>
      </c>
      <c r="F158" s="67">
        <f>COUNTIF(Productos_frec_tabla[Columna1],Productos_frec_tabla[[#This Row],[Columna12]])</f>
        <v>1</v>
      </c>
      <c r="Y158" t="str">
        <v>1kg de crouqtea para gato</v>
      </c>
      <c r="Z158" t="s">
        <v>673</v>
      </c>
    </row>
    <row r="159" spans="2:26" x14ac:dyDescent="0.25">
      <c r="B159" s="67" t="s">
        <v>768</v>
      </c>
      <c r="C159" s="67">
        <f>COUNTIF(Tabla1[Pedido],Productos_frec_tabla[[#This Row],[Productoos]])</f>
        <v>0</v>
      </c>
      <c r="D159" s="67" t="str">
        <f>PROPER(Productos_frec_tabla[[#This Row],[Productoos]])</f>
        <v xml:space="preserve"> Tehuacán De A 600</v>
      </c>
      <c r="E159" s="67" t="str">
        <f>PROPER(Productos_frec_tabla[[#This Row],[Productoos]])</f>
        <v xml:space="preserve"> Tehuacán De A 600</v>
      </c>
      <c r="F159" s="67">
        <f>COUNTIF(Productos_frec_tabla[Columna1],Productos_frec_tabla[[#This Row],[Columna12]])</f>
        <v>1</v>
      </c>
      <c r="Y159" t="str">
        <v>1kg de pierna con muslo sin piel chayotes</v>
      </c>
      <c r="Z159" t="s">
        <v>699</v>
      </c>
    </row>
    <row r="160" spans="2:26" x14ac:dyDescent="0.25">
      <c r="B160" s="69" t="s">
        <v>681</v>
      </c>
      <c r="C160" s="67">
        <f>COUNTIF(Tabla1[Pedido],Productos_frec_tabla[[#This Row],[Productoos]])</f>
        <v>0</v>
      </c>
      <c r="D160" s="67" t="str">
        <f>PROPER(Productos_frec_tabla[[#This Row],[Productoos]])</f>
        <v xml:space="preserve"> Tortas De Milanesa Con Salchica</v>
      </c>
      <c r="E160" s="67" t="str">
        <f>PROPER(Productos_frec_tabla[[#This Row],[Productoos]])</f>
        <v xml:space="preserve"> Tortas De Milanesa Con Salchica</v>
      </c>
      <c r="F160" s="67">
        <f>COUNTIF(Productos_frec_tabla[Columna1],Productos_frec_tabla[[#This Row],[Columna12]])</f>
        <v>1</v>
      </c>
      <c r="Y160" t="str">
        <v>1kg de pollo con muslo</v>
      </c>
      <c r="Z160" t="s">
        <v>551</v>
      </c>
    </row>
    <row r="161" spans="2:26" x14ac:dyDescent="0.25">
      <c r="B161" s="67" t="s">
        <v>646</v>
      </c>
      <c r="C161" s="67">
        <f>COUNTIF(Tabla1[Pedido],Productos_frec_tabla[[#This Row],[Productoos]])</f>
        <v>0</v>
      </c>
      <c r="D161" s="67" t="str">
        <f>PROPER(Productos_frec_tabla[[#This Row],[Productoos]])</f>
        <v xml:space="preserve"> Tostadas</v>
      </c>
      <c r="E161" s="67" t="str">
        <f>PROPER(Productos_frec_tabla[[#This Row],[Productoos]])</f>
        <v xml:space="preserve"> Tostadas</v>
      </c>
      <c r="F161" s="67">
        <f>COUNTIF(Productos_frec_tabla[Columna1],Productos_frec_tabla[[#This Row],[Columna12]])</f>
        <v>1</v>
      </c>
      <c r="Y161" t="str">
        <v>1kg de toerillas</v>
      </c>
      <c r="Z161" t="s">
        <v>672</v>
      </c>
    </row>
    <row r="162" spans="2:26" x14ac:dyDescent="0.25">
      <c r="B162" s="67" t="s">
        <v>486</v>
      </c>
      <c r="C162" s="67">
        <f>COUNTIF(Tabla1[Pedido],Productos_frec_tabla[[#This Row],[Productoos]])</f>
        <v>0</v>
      </c>
      <c r="D162" s="67" t="str">
        <f>PROPER(Productos_frec_tabla[[#This Row],[Productoos]])</f>
        <v xml:space="preserve"> Tostadas Salmas</v>
      </c>
      <c r="E162" s="67" t="str">
        <f>PROPER(Productos_frec_tabla[[#This Row],[Productoos]])</f>
        <v xml:space="preserve"> Tostadas Salmas</v>
      </c>
      <c r="F162" s="67">
        <f>COUNTIF(Productos_frec_tabla[Columna1],Productos_frec_tabla[[#This Row],[Columna12]])</f>
        <v>1</v>
      </c>
      <c r="Y162" t="str">
        <v>1kg de tortillas</v>
      </c>
      <c r="Z162" t="s">
        <v>676</v>
      </c>
    </row>
    <row r="163" spans="2:26" x14ac:dyDescent="0.25">
      <c r="B163" s="67" t="s">
        <v>505</v>
      </c>
      <c r="C163" s="67">
        <f>COUNTIF(Tabla1[Pedido],Productos_frec_tabla[[#This Row],[Productoos]])</f>
        <v>0</v>
      </c>
      <c r="D163" s="67" t="str">
        <f>PROPER(Productos_frec_tabla[[#This Row],[Productoos]])</f>
        <v xml:space="preserve"> Tuboi Fde Trikitrakets</v>
      </c>
      <c r="E163" s="67" t="str">
        <f>PROPER(Productos_frec_tabla[[#This Row],[Productoos]])</f>
        <v xml:space="preserve"> Tuboi Fde Trikitrakets</v>
      </c>
      <c r="F163" s="67">
        <f>COUNTIF(Productos_frec_tabla[Columna1],Productos_frec_tabla[[#This Row],[Columna12]])</f>
        <v>1</v>
      </c>
      <c r="Y163" t="str">
        <v>1kg jitomate medio de chiles cabeza de ajo</v>
      </c>
      <c r="Z163" t="s">
        <v>778</v>
      </c>
    </row>
    <row r="164" spans="2:26" x14ac:dyDescent="0.25">
      <c r="B164" s="67" t="s">
        <v>653</v>
      </c>
      <c r="C164" s="67">
        <f>COUNTIF(Tabla1[Pedido],Productos_frec_tabla[[#This Row],[Productoos]])</f>
        <v>0</v>
      </c>
      <c r="D164" s="67" t="str">
        <f>PROPER(Productos_frec_tabla[[#This Row],[Productoos]])</f>
        <v xml:space="preserve"> Valentia</v>
      </c>
      <c r="E164" s="67" t="str">
        <f>PROPER(Productos_frec_tabla[[#This Row],[Productoos]])</f>
        <v xml:space="preserve"> Valentia</v>
      </c>
      <c r="F164" s="67">
        <f>COUNTIF(Productos_frec_tabla[Columna1],Productos_frec_tabla[[#This Row],[Columna12]])</f>
        <v>1</v>
      </c>
      <c r="Y164" t="str">
        <v>1l de leche alpura</v>
      </c>
      <c r="Z164" t="s">
        <v>522</v>
      </c>
    </row>
    <row r="165" spans="2:26" x14ac:dyDescent="0.25">
      <c r="B165" s="69" t="s">
        <v>726</v>
      </c>
      <c r="C165" s="67">
        <f>COUNTIF(Tabla1[Pedido],Productos_frec_tabla[[#This Row],[Productoos]])</f>
        <v>0</v>
      </c>
      <c r="D165" s="67" t="str">
        <f>PROPER(Productos_frec_tabla[[#This Row],[Productoos]])</f>
        <v>$1De Tortillas</v>
      </c>
      <c r="E165" s="67" t="str">
        <f>PROPER(Productos_frec_tabla[[#This Row],[Productoos]])</f>
        <v>$1De Tortillas</v>
      </c>
      <c r="F165" s="67">
        <f>COUNTIF(Productos_frec_tabla[Columna1],Productos_frec_tabla[[#This Row],[Columna12]])</f>
        <v>1</v>
      </c>
      <c r="Y165" t="str">
        <v>1pera</v>
      </c>
      <c r="Z165" t="s">
        <v>547</v>
      </c>
    </row>
    <row r="166" spans="2:26" x14ac:dyDescent="0.25">
      <c r="B166" s="69" t="s">
        <v>606</v>
      </c>
      <c r="C166" s="67">
        <f>COUNTIF(Tabla1[Pedido],Productos_frec_tabla[[#This Row],[Productoos]])</f>
        <v>0</v>
      </c>
      <c r="D166" s="67" t="str">
        <f>PROPER(Productos_frec_tabla[[#This Row],[Productoos]])</f>
        <v xml:space="preserve">0L De Leche Alpura </v>
      </c>
      <c r="E166" s="67" t="str">
        <f>PROPER(Productos_frec_tabla[[#This Row],[Productoos]])</f>
        <v xml:space="preserve">0L De Leche Alpura </v>
      </c>
      <c r="F166" s="67">
        <f>COUNTIF(Productos_frec_tabla[Columna1],Productos_frec_tabla[[#This Row],[Columna12]])</f>
        <v>1</v>
      </c>
      <c r="Y166" t="str">
        <v>1Tacos don dani</v>
      </c>
      <c r="Z166" t="s">
        <v>734</v>
      </c>
    </row>
    <row r="167" spans="2:26" x14ac:dyDescent="0.25">
      <c r="B167" s="69" t="s">
        <v>926</v>
      </c>
      <c r="C167" s="67">
        <f>COUNTIF(Tabla1[Pedido],Productos_frec_tabla[[#This Row],[Productoos]])</f>
        <v>0</v>
      </c>
      <c r="D167" s="67" t="str">
        <f>PROPER(Productos_frec_tabla[[#This Row],[Productoos]])</f>
        <v>1 Kg De Azucar</v>
      </c>
      <c r="E167" s="67" t="str">
        <f>PROPER(Productos_frec_tabla[[#This Row],[Productoos]])</f>
        <v>1 Kg De Azucar</v>
      </c>
      <c r="F167" s="67">
        <f>COUNTIF(Productos_frec_tabla[Columna1],Productos_frec_tabla[[#This Row],[Columna12]])</f>
        <v>1</v>
      </c>
      <c r="Y167" t="str">
        <v>200g de jamon</v>
      </c>
      <c r="Z167" t="s">
        <v>468</v>
      </c>
    </row>
    <row r="168" spans="2:26" x14ac:dyDescent="0.25">
      <c r="B168" s="67" t="s">
        <v>927</v>
      </c>
      <c r="C168" s="67">
        <f>COUNTIF(Tabla1[Pedido],Productos_frec_tabla[[#This Row],[Productoos]])</f>
        <v>0</v>
      </c>
      <c r="D168" s="67" t="str">
        <f>PROPER(Productos_frec_tabla[[#This Row],[Productoos]])</f>
        <v>1 Kg De Cilantro</v>
      </c>
      <c r="E168" s="67" t="str">
        <f>PROPER(Productos_frec_tabla[[#This Row],[Productoos]])</f>
        <v>1 Kg De Cilantro</v>
      </c>
      <c r="F168" s="67">
        <f>COUNTIF(Productos_frec_tabla[Columna1],Productos_frec_tabla[[#This Row],[Columna12]])</f>
        <v>1</v>
      </c>
      <c r="Y168" t="str">
        <v>2kg de huevo</v>
      </c>
      <c r="Z168" t="s">
        <v>677</v>
      </c>
    </row>
    <row r="169" spans="2:26" x14ac:dyDescent="0.25">
      <c r="B169" s="67" t="s">
        <v>928</v>
      </c>
      <c r="C169" s="67">
        <f>COUNTIF(Tabla1[Pedido],Productos_frec_tabla[[#This Row],[Productoos]])</f>
        <v>0</v>
      </c>
      <c r="D169" s="67" t="str">
        <f>PROPER(Productos_frec_tabla[[#This Row],[Productoos]])</f>
        <v>1 Kg De Jamón</v>
      </c>
      <c r="E169" s="67" t="str">
        <f>PROPER(Productos_frec_tabla[[#This Row],[Productoos]])</f>
        <v>1 Kg De Jamón</v>
      </c>
      <c r="F169" s="67">
        <f>COUNTIF(Productos_frec_tabla[Columna1],Productos_frec_tabla[[#This Row],[Columna12]])</f>
        <v>1</v>
      </c>
      <c r="Y169" t="str">
        <v>30 de queso panela</v>
      </c>
      <c r="Z169" t="s">
        <v>513</v>
      </c>
    </row>
    <row r="170" spans="2:26" x14ac:dyDescent="0.25">
      <c r="B170" s="67" t="s">
        <v>938</v>
      </c>
      <c r="C170" s="67">
        <f>COUNTIF(Tabla1[Pedido],Productos_frec_tabla[[#This Row],[Productoos]])</f>
        <v>0</v>
      </c>
      <c r="D170" s="67" t="str">
        <f>PROPER(Productos_frec_tabla[[#This Row],[Productoos]])</f>
        <v>1 Kg De Tortillas</v>
      </c>
      <c r="E170" s="67" t="str">
        <f>PROPER(Productos_frec_tabla[[#This Row],[Productoos]])</f>
        <v>1 Kg De Tortillas</v>
      </c>
      <c r="F170" s="67">
        <f>COUNTIF(Productos_frec_tabla[Columna1],Productos_frec_tabla[[#This Row],[Columna12]])</f>
        <v>1</v>
      </c>
      <c r="Y170" t="str">
        <v>30 de uvas</v>
      </c>
      <c r="Z170" t="s">
        <v>515</v>
      </c>
    </row>
    <row r="171" spans="2:26" x14ac:dyDescent="0.25">
      <c r="B171" s="67" t="s">
        <v>937</v>
      </c>
      <c r="C171" s="67">
        <f>COUNTIF(Tabla1[Pedido],Productos_frec_tabla[[#This Row],[Productoos]])</f>
        <v>0</v>
      </c>
      <c r="D171" s="67" t="str">
        <f>PROPER(Productos_frec_tabla[[#This Row],[Productoos]])</f>
        <v>1 Kg Tortillas</v>
      </c>
      <c r="E171" s="67" t="str">
        <f>PROPER(Productos_frec_tabla[[#This Row],[Productoos]])</f>
        <v>1 Kg Tortillas</v>
      </c>
      <c r="F171" s="67">
        <f>COUNTIF(Productos_frec_tabla[Columna1],Productos_frec_tabla[[#This Row],[Columna12]])</f>
        <v>1</v>
      </c>
      <c r="Y171" t="str">
        <v>40 de croquetas</v>
      </c>
      <c r="Z171" t="s">
        <v>552</v>
      </c>
    </row>
    <row r="172" spans="2:26" x14ac:dyDescent="0.25">
      <c r="B172" s="67" t="s">
        <v>495</v>
      </c>
      <c r="C172" s="67">
        <f>COUNTIF(Tabla1[Pedido],Productos_frec_tabla[[#This Row],[Productoos]])</f>
        <v>0</v>
      </c>
      <c r="D172" s="67" t="str">
        <f>PROPER(Productos_frec_tabla[[#This Row],[Productoos]])</f>
        <v>1/2 De Chuleta</v>
      </c>
      <c r="E172" s="67" t="str">
        <f>PROPER(Productos_frec_tabla[[#This Row],[Productoos]])</f>
        <v>1/2 De Chuleta</v>
      </c>
      <c r="F172" s="67">
        <f>COUNTIF(Productos_frec_tabla[Columna1],Productos_frec_tabla[[#This Row],[Columna12]])</f>
        <v>1</v>
      </c>
      <c r="Y172" t="str">
        <v>50 de chicharro</v>
      </c>
      <c r="Z172" t="s">
        <v>501</v>
      </c>
    </row>
    <row r="173" spans="2:26" x14ac:dyDescent="0.25">
      <c r="B173" s="69" t="s">
        <v>930</v>
      </c>
      <c r="C173" s="67">
        <f>COUNTIF(Tabla1[Pedido],Productos_frec_tabla[[#This Row],[Productoos]])</f>
        <v>0</v>
      </c>
      <c r="D173" s="67" t="str">
        <f>PROPER(Productos_frec_tabla[[#This Row],[Productoos]])</f>
        <v xml:space="preserve">1/2 De Crema </v>
      </c>
      <c r="E173" s="67" t="str">
        <f>PROPER(Productos_frec_tabla[[#This Row],[Productoos]])</f>
        <v xml:space="preserve">1/2 De Crema </v>
      </c>
      <c r="F173" s="67">
        <f>COUNTIF(Productos_frec_tabla[Columna1],Productos_frec_tabla[[#This Row],[Columna12]])</f>
        <v>1</v>
      </c>
      <c r="Y173" t="str">
        <v>agua de frutos rojos bonafont</v>
      </c>
      <c r="Z173" t="s">
        <v>753</v>
      </c>
    </row>
    <row r="174" spans="2:26" x14ac:dyDescent="0.25">
      <c r="B174" s="67" t="s">
        <v>720</v>
      </c>
      <c r="C174" s="67">
        <f>COUNTIF(Tabla1[Pedido],Productos_frec_tabla[[#This Row],[Productoos]])</f>
        <v>0</v>
      </c>
      <c r="D174" s="67" t="str">
        <f>PROPER(Productos_frec_tabla[[#This Row],[Productoos]])</f>
        <v>1/2 De Crema 1/2De Queso</v>
      </c>
      <c r="E174" s="67" t="str">
        <f>PROPER(Productos_frec_tabla[[#This Row],[Productoos]])</f>
        <v>1/2 De Crema 1/2De Queso</v>
      </c>
      <c r="F174" s="67">
        <f>COUNTIF(Productos_frec_tabla[Columna1],Productos_frec_tabla[[#This Row],[Columna12]])</f>
        <v>1</v>
      </c>
      <c r="Y174" t="str">
        <v>arena para gatos</v>
      </c>
      <c r="Z174" t="s">
        <v>609</v>
      </c>
    </row>
    <row r="175" spans="2:26" x14ac:dyDescent="0.25">
      <c r="B175" s="67" t="s">
        <v>496</v>
      </c>
      <c r="C175" s="67">
        <f>COUNTIF(Tabla1[Pedido],Productos_frec_tabla[[#This Row],[Productoos]])</f>
        <v>0</v>
      </c>
      <c r="D175" s="67" t="str">
        <f>PROPER(Productos_frec_tabla[[#This Row],[Productoos]])</f>
        <v>1/2 De Tortillas</v>
      </c>
      <c r="E175" s="67" t="str">
        <f>PROPER(Productos_frec_tabla[[#This Row],[Productoos]])</f>
        <v>1/2 De Tortillas</v>
      </c>
      <c r="F175" s="67">
        <f>COUNTIF(Productos_frec_tabla[Columna1],Productos_frec_tabla[[#This Row],[Columna12]])</f>
        <v>1</v>
      </c>
      <c r="Y175" t="str">
        <v>arroz del valle</v>
      </c>
      <c r="Z175" t="s">
        <v>656</v>
      </c>
    </row>
    <row r="176" spans="2:26" x14ac:dyDescent="0.25">
      <c r="B176" s="69" t="s">
        <v>784</v>
      </c>
      <c r="C176" s="67">
        <f>COUNTIF(Tabla1[Pedido],Productos_frec_tabla[[#This Row],[Productoos]])</f>
        <v>0</v>
      </c>
      <c r="D176" s="67" t="str">
        <f>PROPER(Productos_frec_tabla[[#This Row],[Productoos]])</f>
        <v>1/2 Kg De Bisteck</v>
      </c>
      <c r="E176" s="67" t="str">
        <f>PROPER(Productos_frec_tabla[[#This Row],[Productoos]])</f>
        <v>1/2 Kg De Bisteck</v>
      </c>
      <c r="F176" s="67">
        <f>COUNTIF(Productos_frec_tabla[Columna1],Productos_frec_tabla[[#This Row],[Columna12]])</f>
        <v>1</v>
      </c>
      <c r="Y176" t="str">
        <v>barritas</v>
      </c>
      <c r="Z176" t="s">
        <v>722</v>
      </c>
    </row>
    <row r="177" spans="2:26" x14ac:dyDescent="0.25">
      <c r="B177" s="67" t="s">
        <v>942</v>
      </c>
      <c r="C177" s="67">
        <f>COUNTIF(Tabla1[Pedido],Productos_frec_tabla[[#This Row],[Productoos]])</f>
        <v>0</v>
      </c>
      <c r="D177" s="67" t="str">
        <f>PROPER(Productos_frec_tabla[[#This Row],[Productoos]])</f>
        <v>1/2 Kg De Croqueta Para Gato</v>
      </c>
      <c r="E177" s="67" t="str">
        <f>PROPER(Productos_frec_tabla[[#This Row],[Productoos]])</f>
        <v>1/2 Kg De Croqueta Para Gato</v>
      </c>
      <c r="F177" s="67">
        <f>COUNTIF(Productos_frec_tabla[Columna1],Productos_frec_tabla[[#This Row],[Columna12]])</f>
        <v>1</v>
      </c>
      <c r="Y177" t="str">
        <v>barritas de piña</v>
      </c>
      <c r="Z177" t="s">
        <v>721</v>
      </c>
    </row>
    <row r="178" spans="2:26" x14ac:dyDescent="0.25">
      <c r="B178" s="67" t="s">
        <v>944</v>
      </c>
      <c r="C178" s="67">
        <f>COUNTIF(Tabla1[Pedido],Productos_frec_tabla[[#This Row],[Productoos]])</f>
        <v>0</v>
      </c>
      <c r="D178" s="67" t="str">
        <f>PROPER(Productos_frec_tabla[[#This Row],[Productoos]])</f>
        <v>1/2 Kg De Doble Crema</v>
      </c>
      <c r="E178" s="67" t="str">
        <f>PROPER(Productos_frec_tabla[[#This Row],[Productoos]])</f>
        <v>1/2 Kg De Doble Crema</v>
      </c>
      <c r="F178" s="67">
        <f>COUNTIF(Productos_frec_tabla[Columna1],Productos_frec_tabla[[#This Row],[Columna12]])</f>
        <v>1</v>
      </c>
      <c r="Y178" t="str">
        <v>Barritas Piña</v>
      </c>
      <c r="Z178" t="s">
        <v>449</v>
      </c>
    </row>
    <row r="179" spans="2:26" x14ac:dyDescent="0.25">
      <c r="B179" s="67" t="s">
        <v>943</v>
      </c>
      <c r="C179" s="67">
        <f>COUNTIF(Tabla1[Pedido],Productos_frec_tabla[[#This Row],[Productoos]])</f>
        <v>0</v>
      </c>
      <c r="D179" s="67" t="str">
        <f>PROPER(Productos_frec_tabla[[#This Row],[Productoos]])</f>
        <v>1/2 Kg De Longaniza</v>
      </c>
      <c r="E179" s="67" t="str">
        <f>PROPER(Productos_frec_tabla[[#This Row],[Productoos]])</f>
        <v>1/2 Kg De Longaniza</v>
      </c>
      <c r="F179" s="67">
        <f>COUNTIF(Productos_frec_tabla[Columna1],Productos_frec_tabla[[#This Row],[Columna12]])</f>
        <v>1</v>
      </c>
      <c r="Y179" t="str">
        <v>Bimbo donitas espolv.</v>
      </c>
      <c r="Z179" t="s">
        <v>442</v>
      </c>
    </row>
    <row r="180" spans="2:26" x14ac:dyDescent="0.25">
      <c r="B180" s="67" t="s">
        <v>477</v>
      </c>
      <c r="C180" s="67">
        <f>COUNTIF(Tabla1[Pedido],Productos_frec_tabla[[#This Row],[Productoos]])</f>
        <v>0</v>
      </c>
      <c r="D180" s="67" t="str">
        <f>PROPER(Productos_frec_tabla[[#This Row],[Productoos]])</f>
        <v>14/ De Queso Crema</v>
      </c>
      <c r="E180" s="67" t="str">
        <f>PROPER(Productos_frec_tabla[[#This Row],[Productoos]])</f>
        <v>14/ De Queso Crema</v>
      </c>
      <c r="F180" s="67">
        <f>COUNTIF(Productos_frec_tabla[Columna1],Productos_frec_tabla[[#This Row],[Columna12]])</f>
        <v>1</v>
      </c>
      <c r="Y180" t="str">
        <v>bisteck</v>
      </c>
      <c r="Z180" t="s">
        <v>736</v>
      </c>
    </row>
    <row r="181" spans="2:26" x14ac:dyDescent="0.25">
      <c r="B181" s="69" t="s">
        <v>725</v>
      </c>
      <c r="C181" s="67">
        <f>COUNTIF(Tabla1[Pedido],Productos_frec_tabla[[#This Row],[Productoos]])</f>
        <v>0</v>
      </c>
      <c r="D181" s="67" t="str">
        <f>PROPER(Productos_frec_tabla[[#This Row],[Productoos]])</f>
        <v>1De Tortillas Pepsi 1.75</v>
      </c>
      <c r="E181" s="67" t="str">
        <f>PROPER(Productos_frec_tabla[[#This Row],[Productoos]])</f>
        <v>1De Tortillas Pepsi 1.75</v>
      </c>
      <c r="F181" s="67">
        <f>COUNTIF(Productos_frec_tabla[Columna1],Productos_frec_tabla[[#This Row],[Columna12]])</f>
        <v>1</v>
      </c>
      <c r="Y181" t="str">
        <v>Bonafont 10L</v>
      </c>
      <c r="Z181" t="s">
        <v>433</v>
      </c>
    </row>
    <row r="182" spans="2:26" x14ac:dyDescent="0.25">
      <c r="B182" s="67" t="s">
        <v>731</v>
      </c>
      <c r="C182" s="67">
        <f>COUNTIF(Tabla1[Pedido],Productos_frec_tabla[[#This Row],[Productoos]])</f>
        <v>0</v>
      </c>
      <c r="D182" s="67" t="str">
        <f>PROPER(Productos_frec_tabla[[#This Row],[Productoos]])</f>
        <v>1De Totillas</v>
      </c>
      <c r="E182" s="67" t="str">
        <f>PROPER(Productos_frec_tabla[[#This Row],[Productoos]])</f>
        <v>1De Totillas</v>
      </c>
      <c r="F182" s="67">
        <f>COUNTIF(Productos_frec_tabla[Columna1],Productos_frec_tabla[[#This Row],[Columna12]])</f>
        <v>1</v>
      </c>
      <c r="Y182" t="str">
        <v>bonafont 20l</v>
      </c>
      <c r="Z182" t="s">
        <v>624</v>
      </c>
    </row>
    <row r="183" spans="2:26" x14ac:dyDescent="0.25">
      <c r="B183" s="69" t="s">
        <v>673</v>
      </c>
      <c r="C183" s="67">
        <f>COUNTIF(Tabla1[Pedido],Productos_frec_tabla[[#This Row],[Productoos]])</f>
        <v>0</v>
      </c>
      <c r="D183" s="67" t="str">
        <f>PROPER(Productos_frec_tabla[[#This Row],[Productoos]])</f>
        <v>1Kg De Crouqtea Para Gato</v>
      </c>
      <c r="E183" s="67" t="str">
        <f>PROPER(Productos_frec_tabla[[#This Row],[Productoos]])</f>
        <v>1Kg De Crouqtea Para Gato</v>
      </c>
      <c r="F183" s="67">
        <f>COUNTIF(Productos_frec_tabla[Columna1],Productos_frec_tabla[[#This Row],[Columna12]])</f>
        <v>1</v>
      </c>
      <c r="Y183" t="str">
        <v>bote de estudio</v>
      </c>
      <c r="Z183" t="s">
        <v>628</v>
      </c>
    </row>
    <row r="184" spans="2:26" x14ac:dyDescent="0.25">
      <c r="B184" s="67" t="s">
        <v>699</v>
      </c>
      <c r="C184" s="67">
        <f>COUNTIF(Tabla1[Pedido],Productos_frec_tabla[[#This Row],[Productoos]])</f>
        <v>0</v>
      </c>
      <c r="D184" s="67" t="str">
        <f>PROPER(Productos_frec_tabla[[#This Row],[Productoos]])</f>
        <v>1Kg De Pierna Con Muslo Sin Piel Chayotes</v>
      </c>
      <c r="E184" s="67" t="str">
        <f>PROPER(Productos_frec_tabla[[#This Row],[Productoos]])</f>
        <v>1Kg De Pierna Con Muslo Sin Piel Chayotes</v>
      </c>
      <c r="F184" s="67">
        <f>COUNTIF(Productos_frec_tabla[Columna1],Productos_frec_tabla[[#This Row],[Columna12]])</f>
        <v>1</v>
      </c>
      <c r="Y184" t="str">
        <v>cabeza de ajo</v>
      </c>
      <c r="Z184" t="s">
        <v>623</v>
      </c>
    </row>
    <row r="185" spans="2:26" x14ac:dyDescent="0.25">
      <c r="B185" s="69" t="s">
        <v>551</v>
      </c>
      <c r="C185" s="67">
        <f>COUNTIF(Tabla1[Pedido],Productos_frec_tabla[[#This Row],[Productoos]])</f>
        <v>0</v>
      </c>
      <c r="D185" s="67" t="str">
        <f>PROPER(Productos_frec_tabla[[#This Row],[Productoos]])</f>
        <v>1Kg De Pollo Con Muslo</v>
      </c>
      <c r="E185" s="67" t="str">
        <f>PROPER(Productos_frec_tabla[[#This Row],[Productoos]])</f>
        <v>1Kg De Pollo Con Muslo</v>
      </c>
      <c r="F185" s="67">
        <f>COUNTIF(Productos_frec_tabla[Columna1],Productos_frec_tabla[[#This Row],[Columna12]])</f>
        <v>1</v>
      </c>
      <c r="Y185" t="str">
        <v>caguama</v>
      </c>
      <c r="Z185" t="s">
        <v>622</v>
      </c>
    </row>
    <row r="186" spans="2:26" x14ac:dyDescent="0.25">
      <c r="B186" s="69" t="s">
        <v>672</v>
      </c>
      <c r="C186" s="67">
        <f>COUNTIF(Tabla1[Pedido],Productos_frec_tabla[[#This Row],[Productoos]])</f>
        <v>0</v>
      </c>
      <c r="D186" s="67" t="str">
        <f>PROPER(Productos_frec_tabla[[#This Row],[Productoos]])</f>
        <v>1Kg De Toerillas</v>
      </c>
      <c r="E186" s="67" t="str">
        <f>PROPER(Productos_frec_tabla[[#This Row],[Productoos]])</f>
        <v>1Kg De Toerillas</v>
      </c>
      <c r="F186" s="67">
        <f>COUNTIF(Productos_frec_tabla[Columna1],Productos_frec_tabla[[#This Row],[Columna12]])</f>
        <v>1</v>
      </c>
      <c r="Y186" t="str">
        <v xml:space="preserve">caguamas </v>
      </c>
      <c r="Z186" t="s">
        <v>717</v>
      </c>
    </row>
    <row r="187" spans="2:26" x14ac:dyDescent="0.25">
      <c r="B187" s="67" t="s">
        <v>676</v>
      </c>
      <c r="C187" s="67">
        <f>COUNTIF(Tabla1[Pedido],Productos_frec_tabla[[#This Row],[Productoos]])</f>
        <v>0</v>
      </c>
      <c r="D187" s="67" t="str">
        <f>PROPER(Productos_frec_tabla[[#This Row],[Productoos]])</f>
        <v>1Kg De Tortillas</v>
      </c>
      <c r="E187" s="67" t="str">
        <f>PROPER(Productos_frec_tabla[[#This Row],[Productoos]])</f>
        <v>1Kg De Tortillas</v>
      </c>
      <c r="F187" s="67">
        <f>COUNTIF(Productos_frec_tabla[Columna1],Productos_frec_tabla[[#This Row],[Columna12]])</f>
        <v>1</v>
      </c>
      <c r="Y187" t="str">
        <v>cereal zucaritas</v>
      </c>
      <c r="Z187" t="s">
        <v>766</v>
      </c>
    </row>
    <row r="188" spans="2:26" x14ac:dyDescent="0.25">
      <c r="B188" s="69" t="s">
        <v>778</v>
      </c>
      <c r="C188" s="67">
        <f>COUNTIF(Tabla1[Pedido],Productos_frec_tabla[[#This Row],[Productoos]])</f>
        <v>0</v>
      </c>
      <c r="D188" s="67" t="str">
        <f>PROPER(Productos_frec_tabla[[#This Row],[Productoos]])</f>
        <v>1Kg Jitomate Medio De Chiles Cabeza De Ajo</v>
      </c>
      <c r="E188" s="67" t="str">
        <f>PROPER(Productos_frec_tabla[[#This Row],[Productoos]])</f>
        <v>1Kg Jitomate Medio De Chiles Cabeza De Ajo</v>
      </c>
      <c r="F188" s="67">
        <f>COUNTIF(Productos_frec_tabla[Columna1],Productos_frec_tabla[[#This Row],[Columna12]])</f>
        <v>1</v>
      </c>
      <c r="Y188" t="str">
        <v>Chicken bake</v>
      </c>
      <c r="Z188" t="s">
        <v>441</v>
      </c>
    </row>
    <row r="189" spans="2:26" x14ac:dyDescent="0.25">
      <c r="B189" s="67" t="s">
        <v>522</v>
      </c>
      <c r="C189" s="67">
        <f>COUNTIF(Tabla1[Pedido],Productos_frec_tabla[[#This Row],[Productoos]])</f>
        <v>0</v>
      </c>
      <c r="D189" s="67" t="str">
        <f>PROPER(Productos_frec_tabla[[#This Row],[Productoos]])</f>
        <v>1L De Leche Alpura</v>
      </c>
      <c r="E189" s="67" t="str">
        <f>PROPER(Productos_frec_tabla[[#This Row],[Productoos]])</f>
        <v>1L De Leche Alpura</v>
      </c>
      <c r="F189" s="67">
        <f>COUNTIF(Productos_frec_tabla[Columna1],Productos_frec_tabla[[#This Row],[Columna12]])</f>
        <v>1</v>
      </c>
      <c r="Y189" t="str">
        <v>chocolate</v>
      </c>
      <c r="Z189" t="s">
        <v>762</v>
      </c>
    </row>
    <row r="190" spans="2:26" x14ac:dyDescent="0.25">
      <c r="B190" s="67" t="s">
        <v>547</v>
      </c>
      <c r="C190" s="67">
        <f>COUNTIF(Tabla1[Pedido],Productos_frec_tabla[[#This Row],[Productoos]])</f>
        <v>0</v>
      </c>
      <c r="D190" s="67" t="str">
        <f>PROPER(Productos_frec_tabla[[#This Row],[Productoos]])</f>
        <v>1Pera</v>
      </c>
      <c r="E190" s="67" t="str">
        <f>PROPER(Productos_frec_tabla[[#This Row],[Productoos]])</f>
        <v>1Pera</v>
      </c>
      <c r="F190" s="67">
        <f>COUNTIF(Productos_frec_tabla[Columna1],Productos_frec_tabla[[#This Row],[Columna12]])</f>
        <v>1</v>
      </c>
      <c r="Y190" t="str">
        <v>Cigarros de pepino</v>
      </c>
      <c r="Z190" t="s">
        <v>932</v>
      </c>
    </row>
    <row r="191" spans="2:26" x14ac:dyDescent="0.25">
      <c r="B191" s="69" t="s">
        <v>734</v>
      </c>
      <c r="C191" s="67">
        <f>COUNTIF(Tabla1[Pedido],Productos_frec_tabla[[#This Row],[Productoos]])</f>
        <v>0</v>
      </c>
      <c r="D191" s="67" t="str">
        <f>PROPER(Productos_frec_tabla[[#This Row],[Productoos]])</f>
        <v>1Tacos Don Dani</v>
      </c>
      <c r="E191" s="67" t="str">
        <f>PROPER(Productos_frec_tabla[[#This Row],[Productoos]])</f>
        <v>1Tacos Don Dani</v>
      </c>
      <c r="F191" s="67">
        <f>COUNTIF(Productos_frec_tabla[Columna1],Productos_frec_tabla[[#This Row],[Columna12]])</f>
        <v>1</v>
      </c>
      <c r="Y191" t="str">
        <v>Coca 2L</v>
      </c>
      <c r="Z191" t="s">
        <v>438</v>
      </c>
    </row>
    <row r="192" spans="2:26" x14ac:dyDescent="0.25">
      <c r="B192" s="67" t="s">
        <v>468</v>
      </c>
      <c r="C192" s="67">
        <f>COUNTIF(Tabla1[Pedido],Productos_frec_tabla[[#This Row],[Productoos]])</f>
        <v>0</v>
      </c>
      <c r="D192" s="67" t="str">
        <f>PROPER(Productos_frec_tabla[[#This Row],[Productoos]])</f>
        <v>200G De Jamon</v>
      </c>
      <c r="E192" s="67" t="str">
        <f>PROPER(Productos_frec_tabla[[#This Row],[Productoos]])</f>
        <v>200G De Jamon</v>
      </c>
      <c r="F192" s="67">
        <f>COUNTIF(Productos_frec_tabla[Columna1],Productos_frec_tabla[[#This Row],[Columna12]])</f>
        <v>1</v>
      </c>
      <c r="Y192" t="str">
        <v>coca de  litros</v>
      </c>
      <c r="Z192" t="s">
        <v>779</v>
      </c>
    </row>
    <row r="193" spans="2:26" x14ac:dyDescent="0.25">
      <c r="B193" s="67" t="s">
        <v>677</v>
      </c>
      <c r="C193" s="67">
        <f>COUNTIF(Tabla1[Pedido],Productos_frec_tabla[[#This Row],[Productoos]])</f>
        <v>0</v>
      </c>
      <c r="D193" s="67" t="str">
        <f>PROPER(Productos_frec_tabla[[#This Row],[Productoos]])</f>
        <v>2Kg De Huevo</v>
      </c>
      <c r="E193" s="67" t="str">
        <f>PROPER(Productos_frec_tabla[[#This Row],[Productoos]])</f>
        <v>2Kg De Huevo</v>
      </c>
      <c r="F193" s="67">
        <f>COUNTIF(Productos_frec_tabla[Columna1],Productos_frec_tabla[[#This Row],[Columna12]])</f>
        <v>1</v>
      </c>
      <c r="Y193" t="str">
        <v>coca de 1.2</v>
      </c>
      <c r="Z193" t="s">
        <v>929</v>
      </c>
    </row>
    <row r="194" spans="2:26" x14ac:dyDescent="0.25">
      <c r="B194" s="67" t="s">
        <v>513</v>
      </c>
      <c r="C194" s="67">
        <f>COUNTIF(Tabla1[Pedido],Productos_frec_tabla[[#This Row],[Productoos]])</f>
        <v>0</v>
      </c>
      <c r="D194" s="67" t="str">
        <f>PROPER(Productos_frec_tabla[[#This Row],[Productoos]])</f>
        <v>30 De Queso Panela</v>
      </c>
      <c r="E194" s="67" t="str">
        <f>PROPER(Productos_frec_tabla[[#This Row],[Productoos]])</f>
        <v>30 De Queso Panela</v>
      </c>
      <c r="F194" s="67">
        <f>COUNTIF(Productos_frec_tabla[Columna1],Productos_frec_tabla[[#This Row],[Columna12]])</f>
        <v>1</v>
      </c>
      <c r="Y194" t="str">
        <v xml:space="preserve">coca de 1.2y 1/2de crema </v>
      </c>
      <c r="Z194" t="s">
        <v>724</v>
      </c>
    </row>
    <row r="195" spans="2:26" x14ac:dyDescent="0.25">
      <c r="B195" s="67" t="s">
        <v>515</v>
      </c>
      <c r="C195" s="67">
        <f>COUNTIF(Tabla1[Pedido],Productos_frec_tabla[[#This Row],[Productoos]])</f>
        <v>0</v>
      </c>
      <c r="D195" s="67" t="str">
        <f>PROPER(Productos_frec_tabla[[#This Row],[Productoos]])</f>
        <v>30 De Uvas</v>
      </c>
      <c r="E195" s="67" t="str">
        <f>PROPER(Productos_frec_tabla[[#This Row],[Productoos]])</f>
        <v>30 De Uvas</v>
      </c>
      <c r="F195" s="67">
        <f>COUNTIF(Productos_frec_tabla[Columna1],Productos_frec_tabla[[#This Row],[Columna12]])</f>
        <v>1</v>
      </c>
      <c r="Y195" t="str">
        <v>coca de lata sin azúcar</v>
      </c>
      <c r="Z195" t="s">
        <v>776</v>
      </c>
    </row>
    <row r="196" spans="2:26" x14ac:dyDescent="0.25">
      <c r="B196" s="69" t="s">
        <v>552</v>
      </c>
      <c r="C196" s="67">
        <f>COUNTIF(Tabla1[Pedido],Productos_frec_tabla[[#This Row],[Productoos]])</f>
        <v>0</v>
      </c>
      <c r="D196" s="67" t="str">
        <f>PROPER(Productos_frec_tabla[[#This Row],[Productoos]])</f>
        <v>40 De Croquetas</v>
      </c>
      <c r="E196" s="67" t="str">
        <f>PROPER(Productos_frec_tabla[[#This Row],[Productoos]])</f>
        <v>40 De Croquetas</v>
      </c>
      <c r="F196" s="67">
        <f>COUNTIF(Productos_frec_tabla[Columna1],Productos_frec_tabla[[#This Row],[Columna12]])</f>
        <v>1</v>
      </c>
      <c r="Y196" t="str">
        <v>Coca s.a. 600 mL</v>
      </c>
      <c r="Z196" t="s">
        <v>429</v>
      </c>
    </row>
    <row r="197" spans="2:26" x14ac:dyDescent="0.25">
      <c r="B197" s="69" t="s">
        <v>501</v>
      </c>
      <c r="C197" s="67">
        <f>COUNTIF(Tabla1[Pedido],Productos_frec_tabla[[#This Row],[Productoos]])</f>
        <v>0</v>
      </c>
      <c r="D197" s="67" t="str">
        <f>PROPER(Productos_frec_tabla[[#This Row],[Productoos]])</f>
        <v>50 De Chicharro</v>
      </c>
      <c r="E197" s="67" t="str">
        <f>PROPER(Productos_frec_tabla[[#This Row],[Productoos]])</f>
        <v>50 De Chicharro</v>
      </c>
      <c r="F197" s="67">
        <f>COUNTIF(Productos_frec_tabla[Columna1],Productos_frec_tabla[[#This Row],[Columna12]])</f>
        <v>1</v>
      </c>
      <c r="Y197" t="str">
        <v>Coca-Cola de 2L</v>
      </c>
      <c r="Z197" t="s">
        <v>740</v>
      </c>
    </row>
    <row r="198" spans="2:26" x14ac:dyDescent="0.25">
      <c r="B198" s="69" t="s">
        <v>753</v>
      </c>
      <c r="C198" s="67">
        <f>COUNTIF(Tabla1[Pedido],Productos_frec_tabla[[#This Row],[Productoos]])</f>
        <v>0</v>
      </c>
      <c r="D198" s="67" t="str">
        <f>PROPER(Productos_frec_tabla[[#This Row],[Productoos]])</f>
        <v>Agua De Frutos Rojos Bonafont</v>
      </c>
      <c r="E198" s="67" t="str">
        <f>PROPER(Productos_frec_tabla[[#This Row],[Productoos]])</f>
        <v>Agua De Frutos Rojos Bonafont</v>
      </c>
      <c r="F198" s="67">
        <f>COUNTIF(Productos_frec_tabla[Columna1],Productos_frec_tabla[[#This Row],[Columna12]])</f>
        <v>1</v>
      </c>
      <c r="Y198" t="str">
        <v>corona mega</v>
      </c>
      <c r="Z198" t="s">
        <v>618</v>
      </c>
    </row>
    <row r="199" spans="2:26" x14ac:dyDescent="0.25">
      <c r="B199" s="69" t="s">
        <v>609</v>
      </c>
      <c r="C199" s="67">
        <f>COUNTIF(Tabla1[Pedido],Productos_frec_tabla[[#This Row],[Productoos]])</f>
        <v>0</v>
      </c>
      <c r="D199" s="67" t="str">
        <f>PROPER(Productos_frec_tabla[[#This Row],[Productoos]])</f>
        <v>Arena Para Gatos</v>
      </c>
      <c r="E199" s="67" t="str">
        <f>PROPER(Productos_frec_tabla[[#This Row],[Productoos]])</f>
        <v>Arena Para Gatos</v>
      </c>
      <c r="F199" s="67">
        <f>COUNTIF(Productos_frec_tabla[Columna1],Productos_frec_tabla[[#This Row],[Columna12]])</f>
        <v>1</v>
      </c>
      <c r="Y199" t="str">
        <v>Crema alpura 1/2</v>
      </c>
      <c r="Z199" t="s">
        <v>748</v>
      </c>
    </row>
    <row r="200" spans="2:26" x14ac:dyDescent="0.25">
      <c r="B200" s="67" t="s">
        <v>656</v>
      </c>
      <c r="C200" s="67">
        <f>COUNTIF(Tabla1[Pedido],Productos_frec_tabla[[#This Row],[Productoos]])</f>
        <v>0</v>
      </c>
      <c r="D200" s="67" t="str">
        <f>PROPER(Productos_frec_tabla[[#This Row],[Productoos]])</f>
        <v>Arroz Del Valle</v>
      </c>
      <c r="E200" s="67" t="str">
        <f>PROPER(Productos_frec_tabla[[#This Row],[Productoos]])</f>
        <v>Arroz Del Valle</v>
      </c>
      <c r="F200" s="67">
        <f>COUNTIF(Productos_frec_tabla[Columna1],Productos_frec_tabla[[#This Row],[Columna12]])</f>
        <v>1</v>
      </c>
      <c r="Y200" t="str">
        <v>crema alpura de 1/2</v>
      </c>
      <c r="Z200" t="s">
        <v>780</v>
      </c>
    </row>
    <row r="201" spans="2:26" x14ac:dyDescent="0.25">
      <c r="B201" s="69" t="s">
        <v>722</v>
      </c>
      <c r="C201" s="67">
        <f>COUNTIF(Tabla1[Pedido],Productos_frec_tabla[[#This Row],[Productoos]])</f>
        <v>0</v>
      </c>
      <c r="D201" s="67" t="str">
        <f>PROPER(Productos_frec_tabla[[#This Row],[Productoos]])</f>
        <v>Barritas</v>
      </c>
      <c r="E201" s="67" t="str">
        <f>PROPER(Productos_frec_tabla[[#This Row],[Productoos]])</f>
        <v>Barritas</v>
      </c>
      <c r="F201" s="67">
        <f>COUNTIF(Productos_frec_tabla[Columna1],Productos_frec_tabla[[#This Row],[Columna12]])</f>
        <v>1</v>
      </c>
      <c r="Y201" t="str">
        <v>del valle de l y Magnum</v>
      </c>
      <c r="Z201" t="s">
        <v>777</v>
      </c>
    </row>
    <row r="202" spans="2:26" x14ac:dyDescent="0.25">
      <c r="B202" s="67" t="s">
        <v>721</v>
      </c>
      <c r="C202" s="67">
        <f>COUNTIF(Tabla1[Pedido],Productos_frec_tabla[[#This Row],[Productoos]])</f>
        <v>0</v>
      </c>
      <c r="D202" s="67" t="str">
        <f>PROPER(Productos_frec_tabla[[#This Row],[Productoos]])</f>
        <v>Barritas De Piña</v>
      </c>
      <c r="E202" s="67" t="str">
        <f>PROPER(Productos_frec_tabla[[#This Row],[Productoos]])</f>
        <v>Barritas De Piña</v>
      </c>
      <c r="F202" s="67">
        <f>COUNTIF(Productos_frec_tabla[Columna1],Productos_frec_tabla[[#This Row],[Columna12]])</f>
        <v>1</v>
      </c>
      <c r="Y202" t="str">
        <v>Delaware 2L</v>
      </c>
      <c r="Z202" t="s">
        <v>443</v>
      </c>
    </row>
    <row r="203" spans="2:26" x14ac:dyDescent="0.25">
      <c r="B203" s="67" t="s">
        <v>449</v>
      </c>
      <c r="C203" s="67">
        <f>COUNTIF(Tabla1[Pedido],Productos_frec_tabla[[#This Row],[Productoos]])</f>
        <v>0</v>
      </c>
      <c r="D203" s="67" t="str">
        <f>PROPER(Productos_frec_tabla[[#This Row],[Productoos]])</f>
        <v>Barritas Piña</v>
      </c>
      <c r="E203" s="67" t="str">
        <f>PROPER(Productos_frec_tabla[[#This Row],[Productoos]])</f>
        <v>Barritas Piña</v>
      </c>
      <c r="F203" s="67">
        <f>COUNTIF(Productos_frec_tabla[Columna1],Productos_frec_tabla[[#This Row],[Columna12]])</f>
        <v>1</v>
      </c>
      <c r="Y203" t="str">
        <v>Delaware Ponch</v>
      </c>
      <c r="Z203" t="s">
        <v>924</v>
      </c>
    </row>
    <row r="204" spans="2:26" x14ac:dyDescent="0.25">
      <c r="B204" s="67" t="s">
        <v>442</v>
      </c>
      <c r="C204" s="67">
        <f>COUNTIF(Tabla1[Pedido],Productos_frec_tabla[[#This Row],[Productoos]])</f>
        <v>0</v>
      </c>
      <c r="D204" s="67" t="str">
        <f>PROPER(Productos_frec_tabla[[#This Row],[Productoos]])</f>
        <v>Bimbo Donitas Espolv.</v>
      </c>
      <c r="E204" s="67" t="str">
        <f>PROPER(Productos_frec_tabla[[#This Row],[Productoos]])</f>
        <v>Bimbo Donitas Espolv.</v>
      </c>
      <c r="F204" s="67">
        <f>COUNTIF(Productos_frec_tabla[Columna1],Productos_frec_tabla[[#This Row],[Columna12]])</f>
        <v>1</v>
      </c>
      <c r="Y204" t="str">
        <v>doritos incognita</v>
      </c>
      <c r="Z204" t="s">
        <v>657</v>
      </c>
    </row>
    <row r="205" spans="2:26" x14ac:dyDescent="0.25">
      <c r="B205" s="69" t="s">
        <v>736</v>
      </c>
      <c r="C205" s="67">
        <f>COUNTIF(Tabla1[Pedido],Productos_frec_tabla[[#This Row],[Productoos]])</f>
        <v>0</v>
      </c>
      <c r="D205" s="67" t="str">
        <f>PROPER(Productos_frec_tabla[[#This Row],[Productoos]])</f>
        <v>Bisteck</v>
      </c>
      <c r="E205" s="67" t="str">
        <f>PROPER(Productos_frec_tabla[[#This Row],[Productoos]])</f>
        <v>Bisteck</v>
      </c>
      <c r="F205" s="67">
        <f>COUNTIF(Productos_frec_tabla[Columna1],Productos_frec_tabla[[#This Row],[Columna12]])</f>
        <v>1</v>
      </c>
      <c r="Y205" t="str">
        <v>doritos negros</v>
      </c>
      <c r="Z205" t="s">
        <v>659</v>
      </c>
    </row>
    <row r="206" spans="2:26" x14ac:dyDescent="0.25">
      <c r="B206" s="67" t="s">
        <v>433</v>
      </c>
      <c r="C206" s="67">
        <f>COUNTIF(Tabla1[Pedido],Productos_frec_tabla[[#This Row],[Productoos]])</f>
        <v>0</v>
      </c>
      <c r="D206" s="67" t="str">
        <f>PROPER(Productos_frec_tabla[[#This Row],[Productoos]])</f>
        <v>Bonafont 10L</v>
      </c>
      <c r="E206" s="67" t="str">
        <f>PROPER(Productos_frec_tabla[[#This Row],[Productoos]])</f>
        <v>Bonafont 10L</v>
      </c>
      <c r="F206" s="67">
        <f>COUNTIF(Productos_frec_tabla[Columna1],Productos_frec_tabla[[#This Row],[Columna12]])</f>
        <v>1</v>
      </c>
      <c r="Y206" t="str">
        <v>Dos rollos de papel baño</v>
      </c>
      <c r="Z206" t="s">
        <v>514</v>
      </c>
    </row>
    <row r="207" spans="2:26" x14ac:dyDescent="0.25">
      <c r="B207" s="68" t="s">
        <v>624</v>
      </c>
      <c r="C207" s="67">
        <f>COUNTIF(Tabla1[Pedido],Productos_frec_tabla[[#This Row],[Productoos]])</f>
        <v>0</v>
      </c>
      <c r="D207" s="67" t="str">
        <f>PROPER(Productos_frec_tabla[[#This Row],[Productoos]])</f>
        <v>Bonafont 20L</v>
      </c>
      <c r="E207" s="67" t="str">
        <f>PROPER(Productos_frec_tabla[[#This Row],[Productoos]])</f>
        <v>Bonafont 20L</v>
      </c>
      <c r="F207" s="67">
        <f>COUNTIF(Productos_frec_tabla[Columna1],Productos_frec_tabla[[#This Row],[Columna12]])</f>
        <v>1</v>
      </c>
      <c r="Y207" t="str">
        <v>Enchiladas verdes</v>
      </c>
      <c r="Z207" t="s">
        <v>445</v>
      </c>
    </row>
    <row r="208" spans="2:26" x14ac:dyDescent="0.25">
      <c r="B208" s="67" t="s">
        <v>628</v>
      </c>
      <c r="C208" s="67">
        <f>COUNTIF(Tabla1[Pedido],Productos_frec_tabla[[#This Row],[Productoos]])</f>
        <v>0</v>
      </c>
      <c r="D208" s="67" t="str">
        <f>PROPER(Productos_frec_tabla[[#This Row],[Productoos]])</f>
        <v>Bote De Estudio</v>
      </c>
      <c r="E208" s="67" t="str">
        <f>PROPER(Productos_frec_tabla[[#This Row],[Productoos]])</f>
        <v>Bote De Estudio</v>
      </c>
      <c r="F208" s="67">
        <f>COUNTIF(Productos_frec_tabla[Columna1],Productos_frec_tabla[[#This Row],[Columna12]])</f>
        <v>1</v>
      </c>
      <c r="Y208" t="str">
        <v>Ensalada</v>
      </c>
      <c r="Z208" t="s">
        <v>436</v>
      </c>
    </row>
    <row r="209" spans="2:26" x14ac:dyDescent="0.25">
      <c r="B209" s="69" t="s">
        <v>623</v>
      </c>
      <c r="C209" s="67">
        <f>COUNTIF(Tabla1[Pedido],Productos_frec_tabla[[#This Row],[Productoos]])</f>
        <v>0</v>
      </c>
      <c r="D209" s="67" t="str">
        <f>PROPER(Productos_frec_tabla[[#This Row],[Productoos]])</f>
        <v>Cabeza De Ajo</v>
      </c>
      <c r="E209" s="67" t="str">
        <f>PROPER(Productos_frec_tabla[[#This Row],[Productoos]])</f>
        <v>Cabeza De Ajo</v>
      </c>
      <c r="F209" s="67">
        <f>COUNTIF(Productos_frec_tabla[Columna1],Productos_frec_tabla[[#This Row],[Columna12]])</f>
        <v>1</v>
      </c>
      <c r="Y209" t="str">
        <v xml:space="preserve">entregar paquete de mercado liber </v>
      </c>
      <c r="Z209" t="s">
        <v>751</v>
      </c>
    </row>
    <row r="210" spans="2:26" x14ac:dyDescent="0.25">
      <c r="B210" s="69" t="s">
        <v>622</v>
      </c>
      <c r="C210" s="67">
        <f>COUNTIF(Tabla1[Pedido],Productos_frec_tabla[[#This Row],[Productoos]])</f>
        <v>0</v>
      </c>
      <c r="D210" s="67" t="str">
        <f>PROPER(Productos_frec_tabla[[#This Row],[Productoos]])</f>
        <v>Caguama</v>
      </c>
      <c r="E210" s="67" t="str">
        <f>PROPER(Productos_frec_tabla[[#This Row],[Productoos]])</f>
        <v>Caguama</v>
      </c>
      <c r="F210" s="67">
        <f>COUNTIF(Productos_frec_tabla[Columna1],Productos_frec_tabla[[#This Row],[Columna12]])</f>
        <v>1</v>
      </c>
      <c r="Y210" t="str">
        <v>Flan de la abuela</v>
      </c>
      <c r="Z210" t="s">
        <v>446</v>
      </c>
    </row>
    <row r="211" spans="2:26" x14ac:dyDescent="0.25">
      <c r="B211" s="69" t="s">
        <v>717</v>
      </c>
      <c r="C211" s="67">
        <f>COUNTIF(Tabla1[Pedido],Productos_frec_tabla[[#This Row],[Productoos]])</f>
        <v>0</v>
      </c>
      <c r="D211" s="67" t="str">
        <f>PROPER(Productos_frec_tabla[[#This Row],[Productoos]])</f>
        <v xml:space="preserve">Caguamas </v>
      </c>
      <c r="E211" s="67" t="str">
        <f>PROPER(Productos_frec_tabla[[#This Row],[Productoos]])</f>
        <v xml:space="preserve">Caguamas </v>
      </c>
      <c r="F211" s="67">
        <f>COUNTIF(Productos_frec_tabla[Columna1],Productos_frec_tabla[[#This Row],[Columna12]])</f>
        <v>1</v>
      </c>
      <c r="Y211" t="str">
        <v>Frijoles</v>
      </c>
      <c r="Z211" t="s">
        <v>434</v>
      </c>
    </row>
    <row r="212" spans="2:26" x14ac:dyDescent="0.25">
      <c r="B212" s="67" t="s">
        <v>766</v>
      </c>
      <c r="C212" s="67">
        <f>COUNTIF(Tabla1[Pedido],Productos_frec_tabla[[#This Row],[Productoos]])</f>
        <v>0</v>
      </c>
      <c r="D212" s="67" t="str">
        <f>PROPER(Productos_frec_tabla[[#This Row],[Productoos]])</f>
        <v>Cereal Zucaritas</v>
      </c>
      <c r="E212" s="67" t="str">
        <f>PROPER(Productos_frec_tabla[[#This Row],[Productoos]])</f>
        <v>Cereal Zucaritas</v>
      </c>
      <c r="F212" s="67">
        <f>COUNTIF(Productos_frec_tabla[Columna1],Productos_frec_tabla[[#This Row],[Columna12]])</f>
        <v>1</v>
      </c>
      <c r="Y212" t="str">
        <v>Fritos Sal</v>
      </c>
      <c r="Z212" t="s">
        <v>450</v>
      </c>
    </row>
    <row r="213" spans="2:26" x14ac:dyDescent="0.25">
      <c r="B213" s="67" t="s">
        <v>441</v>
      </c>
      <c r="C213" s="67">
        <f>COUNTIF(Tabla1[Pedido],Productos_frec_tabla[[#This Row],[Productoos]])</f>
        <v>0</v>
      </c>
      <c r="D213" s="67" t="str">
        <f>PROPER(Productos_frec_tabla[[#This Row],[Productoos]])</f>
        <v>Chicken Bake</v>
      </c>
      <c r="E213" s="67" t="str">
        <f>PROPER(Productos_frec_tabla[[#This Row],[Productoos]])</f>
        <v>Chicken Bake</v>
      </c>
      <c r="F213" s="67">
        <f>COUNTIF(Productos_frec_tabla[Columna1],Productos_frec_tabla[[#This Row],[Columna12]])</f>
        <v>1</v>
      </c>
      <c r="Y213" t="str">
        <v xml:space="preserve">garrafon </v>
      </c>
      <c r="Z213" t="s">
        <v>615</v>
      </c>
    </row>
    <row r="214" spans="2:26" x14ac:dyDescent="0.25">
      <c r="B214" s="67" t="s">
        <v>762</v>
      </c>
      <c r="C214" s="67">
        <f>COUNTIF(Tabla1[Pedido],Productos_frec_tabla[[#This Row],[Productoos]])</f>
        <v>0</v>
      </c>
      <c r="D214" s="67" t="str">
        <f>PROPER(Productos_frec_tabla[[#This Row],[Productoos]])</f>
        <v>Chocolate</v>
      </c>
      <c r="E214" s="67" t="str">
        <f>PROPER(Productos_frec_tabla[[#This Row],[Productoos]])</f>
        <v>Chocolate</v>
      </c>
      <c r="F214" s="67">
        <f>COUNTIF(Productos_frec_tabla[Columna1],Productos_frec_tabla[[#This Row],[Columna12]])</f>
        <v>1</v>
      </c>
      <c r="Y214" t="str">
        <v>garrafón de agua5l</v>
      </c>
      <c r="Z214" t="s">
        <v>760</v>
      </c>
    </row>
    <row r="215" spans="2:26" x14ac:dyDescent="0.25">
      <c r="B215" s="67" t="s">
        <v>932</v>
      </c>
      <c r="C215" s="67">
        <f>COUNTIF(Tabla1[Pedido],Productos_frec_tabla[[#This Row],[Productoos]])</f>
        <v>0</v>
      </c>
      <c r="D215" s="67" t="str">
        <f>PROPER(Productos_frec_tabla[[#This Row],[Productoos]])</f>
        <v>Cigarros De Pepino</v>
      </c>
      <c r="E215" s="67" t="str">
        <f>PROPER(Productos_frec_tabla[[#This Row],[Productoos]])</f>
        <v>Cigarros De Pepino</v>
      </c>
      <c r="F215" s="67">
        <f>COUNTIF(Productos_frec_tabla[Columna1],Productos_frec_tabla[[#This Row],[Columna12]])</f>
        <v>1</v>
      </c>
      <c r="Y215" t="str">
        <v>garrafon gonafont 20l</v>
      </c>
      <c r="Z215" t="s">
        <v>504</v>
      </c>
    </row>
    <row r="216" spans="2:26" x14ac:dyDescent="0.25">
      <c r="B216" s="67" t="s">
        <v>438</v>
      </c>
      <c r="C216" s="67">
        <f>COUNTIF(Tabla1[Pedido],Productos_frec_tabla[[#This Row],[Productoos]])</f>
        <v>0</v>
      </c>
      <c r="D216" s="67" t="str">
        <f>PROPER(Productos_frec_tabla[[#This Row],[Productoos]])</f>
        <v>Coca 2L</v>
      </c>
      <c r="E216" s="67" t="str">
        <f>PROPER(Productos_frec_tabla[[#This Row],[Productoos]])</f>
        <v>Coca 2L</v>
      </c>
      <c r="F216" s="67">
        <f>COUNTIF(Productos_frec_tabla[Columna1],Productos_frec_tabla[[#This Row],[Columna12]])</f>
        <v>1</v>
      </c>
      <c r="Y216" t="str">
        <v xml:space="preserve">HAMBURGESAS </v>
      </c>
      <c r="Z216" t="s">
        <v>723</v>
      </c>
    </row>
    <row r="217" spans="2:26" x14ac:dyDescent="0.25">
      <c r="B217" s="67" t="s">
        <v>779</v>
      </c>
      <c r="C217" s="67">
        <f>COUNTIF(Tabla1[Pedido],Productos_frec_tabla[[#This Row],[Productoos]])</f>
        <v>0</v>
      </c>
      <c r="D217" s="67" t="str">
        <f>PROPER(Productos_frec_tabla[[#This Row],[Productoos]])</f>
        <v>Coca De  Litros</v>
      </c>
      <c r="E217" s="67" t="str">
        <f>PROPER(Productos_frec_tabla[[#This Row],[Productoos]])</f>
        <v>Coca De  Litros</v>
      </c>
      <c r="F217" s="67">
        <f>COUNTIF(Productos_frec_tabla[Columna1],Productos_frec_tabla[[#This Row],[Columna12]])</f>
        <v>1</v>
      </c>
      <c r="Y217" t="str">
        <v>hojas opalinas</v>
      </c>
      <c r="Z217" t="s">
        <v>729</v>
      </c>
    </row>
    <row r="218" spans="2:26" x14ac:dyDescent="0.25">
      <c r="B218" s="69" t="s">
        <v>929</v>
      </c>
      <c r="C218" s="67">
        <f>COUNTIF(Tabla1[Pedido],Productos_frec_tabla[[#This Row],[Productoos]])</f>
        <v>0</v>
      </c>
      <c r="D218" s="67" t="str">
        <f>PROPER(Productos_frec_tabla[[#This Row],[Productoos]])</f>
        <v>Coca De 1.2</v>
      </c>
      <c r="E218" s="67" t="str">
        <f>PROPER(Productos_frec_tabla[[#This Row],[Productoos]])</f>
        <v>Coca De 1.2</v>
      </c>
      <c r="F218" s="67">
        <f>COUNTIF(Productos_frec_tabla[Columna1],Productos_frec_tabla[[#This Row],[Columna12]])</f>
        <v>1</v>
      </c>
      <c r="Y218" t="str">
        <v>hotdogs</v>
      </c>
      <c r="Z218" t="s">
        <v>440</v>
      </c>
    </row>
    <row r="219" spans="2:26" x14ac:dyDescent="0.25">
      <c r="B219" s="69" t="s">
        <v>724</v>
      </c>
      <c r="C219" s="67">
        <f>COUNTIF(Tabla1[Pedido],Productos_frec_tabla[[#This Row],[Productoos]])</f>
        <v>0</v>
      </c>
      <c r="D219" s="67" t="str">
        <f>PROPER(Productos_frec_tabla[[#This Row],[Productoos]])</f>
        <v xml:space="preserve">Coca De 1.2Y 1/2De Crema </v>
      </c>
      <c r="E219" s="67" t="str">
        <f>PROPER(Productos_frec_tabla[[#This Row],[Productoos]])</f>
        <v xml:space="preserve">Coca De 1.2Y 1/2De Crema </v>
      </c>
      <c r="F219" s="67">
        <f>COUNTIF(Productos_frec_tabla[Columna1],Productos_frec_tabla[[#This Row],[Columna12]])</f>
        <v>1</v>
      </c>
      <c r="Y219" t="str">
        <v>huevo kinder</v>
      </c>
      <c r="Z219" t="s">
        <v>611</v>
      </c>
    </row>
    <row r="220" spans="2:26" x14ac:dyDescent="0.25">
      <c r="B220" s="69" t="s">
        <v>776</v>
      </c>
      <c r="C220" s="67">
        <f>COUNTIF(Tabla1[Pedido],Productos_frec_tabla[[#This Row],[Productoos]])</f>
        <v>0</v>
      </c>
      <c r="D220" s="67" t="str">
        <f>PROPER(Productos_frec_tabla[[#This Row],[Productoos]])</f>
        <v>Coca De Lata Sin Azúcar</v>
      </c>
      <c r="E220" s="67" t="str">
        <f>PROPER(Productos_frec_tabla[[#This Row],[Productoos]])</f>
        <v>Coca De Lata Sin Azúcar</v>
      </c>
      <c r="F220" s="67">
        <f>COUNTIF(Productos_frec_tabla[Columna1],Productos_frec_tabla[[#This Row],[Columna12]])</f>
        <v>1</v>
      </c>
      <c r="Y220" t="str">
        <v>Impresiones</v>
      </c>
      <c r="Z220" t="s">
        <v>564</v>
      </c>
    </row>
    <row r="221" spans="2:26" x14ac:dyDescent="0.25">
      <c r="B221" s="67" t="s">
        <v>429</v>
      </c>
      <c r="C221" s="67">
        <f>COUNTIF(Tabla1[Pedido],Productos_frec_tabla[[#This Row],[Productoos]])</f>
        <v>0</v>
      </c>
      <c r="D221" s="67" t="str">
        <f>PROPER(Productos_frec_tabla[[#This Row],[Productoos]])</f>
        <v>Coca S.A. 600 Ml</v>
      </c>
      <c r="E221" s="67" t="str">
        <f>PROPER(Productos_frec_tabla[[#This Row],[Productoos]])</f>
        <v>Coca S.A. 600 Ml</v>
      </c>
      <c r="F221" s="67">
        <f>COUNTIF(Productos_frec_tabla[Columna1],Productos_frec_tabla[[#This Row],[Columna12]])</f>
        <v>1</v>
      </c>
      <c r="Y221" t="str">
        <v>jabón axxe</v>
      </c>
      <c r="Z221" t="s">
        <v>755</v>
      </c>
    </row>
    <row r="222" spans="2:26" x14ac:dyDescent="0.25">
      <c r="B222" s="69" t="s">
        <v>740</v>
      </c>
      <c r="C222" s="67">
        <f>COUNTIF(Tabla1[Pedido],Productos_frec_tabla[[#This Row],[Productoos]])</f>
        <v>0</v>
      </c>
      <c r="D222" s="67" t="str">
        <f>PROPER(Productos_frec_tabla[[#This Row],[Productoos]])</f>
        <v>Coca-Cola De 2L</v>
      </c>
      <c r="E222" s="67" t="str">
        <f>PROPER(Productos_frec_tabla[[#This Row],[Productoos]])</f>
        <v>Coca-Cola De 2L</v>
      </c>
      <c r="F222" s="67">
        <f>COUNTIF(Productos_frec_tabla[Columna1],Productos_frec_tabla[[#This Row],[Columna12]])</f>
        <v>1</v>
      </c>
      <c r="Y222" t="str">
        <v>Jamon pierna 1/2</v>
      </c>
      <c r="Z222" t="s">
        <v>749</v>
      </c>
    </row>
    <row r="223" spans="2:26" x14ac:dyDescent="0.25">
      <c r="B223" s="69" t="s">
        <v>618</v>
      </c>
      <c r="C223" s="67">
        <f>COUNTIF(Tabla1[Pedido],Productos_frec_tabla[[#This Row],[Productoos]])</f>
        <v>0</v>
      </c>
      <c r="D223" s="67" t="str">
        <f>PROPER(Productos_frec_tabla[[#This Row],[Productoos]])</f>
        <v>Corona Mega</v>
      </c>
      <c r="E223" s="67" t="str">
        <f>PROPER(Productos_frec_tabla[[#This Row],[Productoos]])</f>
        <v>Corona Mega</v>
      </c>
      <c r="F223" s="67">
        <f>COUNTIF(Productos_frec_tabla[Columna1],Productos_frec_tabla[[#This Row],[Columna12]])</f>
        <v>1</v>
      </c>
      <c r="Y223" t="str">
        <v xml:space="preserve">jarrito de uva </v>
      </c>
      <c r="Z223" t="s">
        <v>770</v>
      </c>
    </row>
    <row r="224" spans="2:26" x14ac:dyDescent="0.25">
      <c r="B224" s="69" t="s">
        <v>748</v>
      </c>
      <c r="C224" s="67">
        <f>COUNTIF(Tabla1[Pedido],Productos_frec_tabla[[#This Row],[Productoos]])</f>
        <v>0</v>
      </c>
      <c r="D224" s="67" t="str">
        <f>PROPER(Productos_frec_tabla[[#This Row],[Productoos]])</f>
        <v>Crema Alpura 1/2</v>
      </c>
      <c r="E224" s="67" t="str">
        <f>PROPER(Productos_frec_tabla[[#This Row],[Productoos]])</f>
        <v>Crema Alpura 1/2</v>
      </c>
      <c r="F224" s="67">
        <f>COUNTIF(Productos_frec_tabla[Columna1],Productos_frec_tabla[[#This Row],[Columna12]])</f>
        <v>1</v>
      </c>
      <c r="Y224" t="str">
        <v>jax</v>
      </c>
      <c r="Z224" t="s">
        <v>630</v>
      </c>
    </row>
    <row r="225" spans="2:26" x14ac:dyDescent="0.25">
      <c r="B225" s="67" t="s">
        <v>780</v>
      </c>
      <c r="C225" s="67">
        <f>COUNTIF(Tabla1[Pedido],Productos_frec_tabla[[#This Row],[Productoos]])</f>
        <v>0</v>
      </c>
      <c r="D225" s="67" t="str">
        <f>PROPER(Productos_frec_tabla[[#This Row],[Productoos]])</f>
        <v>Crema Alpura De 1/2</v>
      </c>
      <c r="E225" s="67" t="str">
        <f>PROPER(Productos_frec_tabla[[#This Row],[Productoos]])</f>
        <v>Crema Alpura De 1/2</v>
      </c>
      <c r="F225" s="67">
        <f>COUNTIF(Productos_frec_tabla[Columna1],Productos_frec_tabla[[#This Row],[Columna12]])</f>
        <v>1</v>
      </c>
      <c r="Y225" t="str">
        <v>jugo de manzana de litro</v>
      </c>
      <c r="Z225" t="s">
        <v>769</v>
      </c>
    </row>
    <row r="226" spans="2:26" x14ac:dyDescent="0.25">
      <c r="B226" s="69" t="s">
        <v>777</v>
      </c>
      <c r="C226" s="67">
        <f>COUNTIF(Tabla1[Pedido],Productos_frec_tabla[[#This Row],[Productoos]])</f>
        <v>0</v>
      </c>
      <c r="D226" s="67" t="str">
        <f>PROPER(Productos_frec_tabla[[#This Row],[Productoos]])</f>
        <v>Del Valle De L Y Magnum</v>
      </c>
      <c r="E226" s="67" t="str">
        <f>PROPER(Productos_frec_tabla[[#This Row],[Productoos]])</f>
        <v>Del Valle De L Y Magnum</v>
      </c>
      <c r="F226" s="67">
        <f>COUNTIF(Productos_frec_tabla[Columna1],Productos_frec_tabla[[#This Row],[Columna12]])</f>
        <v>1</v>
      </c>
      <c r="Y226" t="str">
        <v>kg de tortillas</v>
      </c>
      <c r="Z226" t="s">
        <v>671</v>
      </c>
    </row>
    <row r="227" spans="2:26" x14ac:dyDescent="0.25">
      <c r="B227" s="67" t="s">
        <v>443</v>
      </c>
      <c r="C227" s="67">
        <f>COUNTIF(Tabla1[Pedido],Productos_frec_tabla[[#This Row],[Productoos]])</f>
        <v>0</v>
      </c>
      <c r="D227" s="67" t="str">
        <f>PROPER(Productos_frec_tabla[[#This Row],[Productoos]])</f>
        <v>Delaware 2L</v>
      </c>
      <c r="E227" s="67" t="str">
        <f>PROPER(Productos_frec_tabla[[#This Row],[Productoos]])</f>
        <v>Delaware 2L</v>
      </c>
      <c r="F227" s="67">
        <f>COUNTIF(Productos_frec_tabla[Columna1],Productos_frec_tabla[[#This Row],[Columna12]])</f>
        <v>1</v>
      </c>
      <c r="Y227" t="str">
        <v xml:space="preserve">Kilo y medio de  pierna </v>
      </c>
      <c r="Z227" t="s">
        <v>922</v>
      </c>
    </row>
    <row r="228" spans="2:26" x14ac:dyDescent="0.25">
      <c r="B228" s="67" t="s">
        <v>924</v>
      </c>
      <c r="C228" s="67">
        <f>COUNTIF(Tabla1[Pedido],Productos_frec_tabla[[#This Row],[Productoos]])</f>
        <v>0</v>
      </c>
      <c r="D228" s="67" t="str">
        <f>PROPER(Productos_frec_tabla[[#This Row],[Productoos]])</f>
        <v>Delaware Ponch</v>
      </c>
      <c r="E228" s="67" t="str">
        <f>PROPER(Productos_frec_tabla[[#This Row],[Productoos]])</f>
        <v>Delaware Ponch</v>
      </c>
      <c r="F228" s="67">
        <f>COUNTIF(Productos_frec_tabla[Columna1],Productos_frec_tabla[[#This Row],[Columna12]])</f>
        <v>1</v>
      </c>
      <c r="Y228" t="str">
        <v>Kilo y medio de muslo</v>
      </c>
      <c r="Z228" t="s">
        <v>923</v>
      </c>
    </row>
    <row r="229" spans="2:26" x14ac:dyDescent="0.25">
      <c r="B229" s="67" t="s">
        <v>657</v>
      </c>
      <c r="C229" s="67">
        <f>COUNTIF(Tabla1[Pedido],Productos_frec_tabla[[#This Row],[Productoos]])</f>
        <v>0</v>
      </c>
      <c r="D229" s="67" t="str">
        <f>PROPER(Productos_frec_tabla[[#This Row],[Productoos]])</f>
        <v>Doritos Incognita</v>
      </c>
      <c r="E229" s="67" t="str">
        <f>PROPER(Productos_frec_tabla[[#This Row],[Productoos]])</f>
        <v>Doritos Incognita</v>
      </c>
      <c r="F229" s="67">
        <f>COUNTIF(Productos_frec_tabla[Columna1],Productos_frec_tabla[[#This Row],[Columna12]])</f>
        <v>1</v>
      </c>
      <c r="Y229" t="str">
        <v xml:space="preserve">Latte tamaño grande con leche deslactosada media carga </v>
      </c>
      <c r="Z229" t="s">
        <v>591</v>
      </c>
    </row>
    <row r="230" spans="2:26" x14ac:dyDescent="0.25">
      <c r="B230" s="67" t="s">
        <v>659</v>
      </c>
      <c r="C230" s="67">
        <f>COUNTIF(Tabla1[Pedido],Productos_frec_tabla[[#This Row],[Productoos]])</f>
        <v>0</v>
      </c>
      <c r="D230" s="67" t="str">
        <f>PROPER(Productos_frec_tabla[[#This Row],[Productoos]])</f>
        <v>Doritos Negros</v>
      </c>
      <c r="E230" s="67" t="str">
        <f>PROPER(Productos_frec_tabla[[#This Row],[Productoos]])</f>
        <v>Doritos Negros</v>
      </c>
      <c r="F230" s="67">
        <f>COUNTIF(Productos_frec_tabla[Columna1],Productos_frec_tabla[[#This Row],[Columna12]])</f>
        <v>1</v>
      </c>
      <c r="Y230" t="str">
        <v>leche</v>
      </c>
      <c r="Z230" t="s">
        <v>557</v>
      </c>
    </row>
    <row r="231" spans="2:26" x14ac:dyDescent="0.25">
      <c r="B231" s="67" t="s">
        <v>514</v>
      </c>
      <c r="C231" s="67">
        <f>COUNTIF(Tabla1[Pedido],Productos_frec_tabla[[#This Row],[Productoos]])</f>
        <v>0</v>
      </c>
      <c r="D231" s="67" t="str">
        <f>PROPER(Productos_frec_tabla[[#This Row],[Productoos]])</f>
        <v>Dos Rollos De Papel Baño</v>
      </c>
      <c r="E231" s="67" t="str">
        <f>PROPER(Productos_frec_tabla[[#This Row],[Productoos]])</f>
        <v>Dos Rollos De Papel Baño</v>
      </c>
      <c r="F231" s="67">
        <f>COUNTIF(Productos_frec_tabla[Columna1],Productos_frec_tabla[[#This Row],[Columna12]])</f>
        <v>1</v>
      </c>
      <c r="Y231" t="str">
        <v>leche clavel</v>
      </c>
      <c r="Z231" t="s">
        <v>616</v>
      </c>
    </row>
    <row r="232" spans="2:26" x14ac:dyDescent="0.25">
      <c r="B232" s="67" t="s">
        <v>445</v>
      </c>
      <c r="C232" s="67">
        <f>COUNTIF(Tabla1[Pedido],Productos_frec_tabla[[#This Row],[Productoos]])</f>
        <v>0</v>
      </c>
      <c r="D232" s="67" t="str">
        <f>PROPER(Productos_frec_tabla[[#This Row],[Productoos]])</f>
        <v>Enchiladas Verdes</v>
      </c>
      <c r="E232" s="67" t="str">
        <f>PROPER(Productos_frec_tabla[[#This Row],[Productoos]])</f>
        <v>Enchiladas Verdes</v>
      </c>
      <c r="F232" s="67">
        <f>COUNTIF(Productos_frec_tabla[Columna1],Productos_frec_tabla[[#This Row],[Columna12]])</f>
        <v>1</v>
      </c>
      <c r="Y232" t="str">
        <v>lucky</v>
      </c>
      <c r="Z232" t="s">
        <v>785</v>
      </c>
    </row>
    <row r="233" spans="2:26" x14ac:dyDescent="0.25">
      <c r="B233" s="67" t="s">
        <v>436</v>
      </c>
      <c r="C233" s="67">
        <f>COUNTIF(Tabla1[Pedido],Productos_frec_tabla[[#This Row],[Productoos]])</f>
        <v>0</v>
      </c>
      <c r="D233" s="67" t="str">
        <f>PROPER(Productos_frec_tabla[[#This Row],[Productoos]])</f>
        <v>Ensalada</v>
      </c>
      <c r="E233" s="67" t="str">
        <f>PROPER(Productos_frec_tabla[[#This Row],[Productoos]])</f>
        <v>Ensalada</v>
      </c>
      <c r="F233" s="67">
        <f>COUNTIF(Productos_frec_tabla[Columna1],Productos_frec_tabla[[#This Row],[Columna12]])</f>
        <v>1</v>
      </c>
      <c r="Y233" t="str">
        <v>Marlboro blanco</v>
      </c>
      <c r="Z233" t="s">
        <v>427</v>
      </c>
    </row>
    <row r="234" spans="2:26" x14ac:dyDescent="0.25">
      <c r="B234" s="69" t="s">
        <v>751</v>
      </c>
      <c r="C234" s="67">
        <f>COUNTIF(Tabla1[Pedido],Productos_frec_tabla[[#This Row],[Productoos]])</f>
        <v>0</v>
      </c>
      <c r="D234" s="67" t="str">
        <f>PROPER(Productos_frec_tabla[[#This Row],[Productoos]])</f>
        <v xml:space="preserve">Entregar Paquete De Mercado Liber </v>
      </c>
      <c r="E234" s="67" t="str">
        <f>PROPER(Productos_frec_tabla[[#This Row],[Productoos]])</f>
        <v xml:space="preserve">Entregar Paquete De Mercado Liber </v>
      </c>
      <c r="F234" s="67">
        <f>COUNTIF(Productos_frec_tabla[Columna1],Productos_frec_tabla[[#This Row],[Columna12]])</f>
        <v>1</v>
      </c>
      <c r="Y234" t="str">
        <v>Marlboro rojo 100</v>
      </c>
      <c r="Z234" t="s">
        <v>428</v>
      </c>
    </row>
    <row r="235" spans="2:26" x14ac:dyDescent="0.25">
      <c r="B235" s="67" t="s">
        <v>446</v>
      </c>
      <c r="C235" s="67">
        <f>COUNTIF(Tabla1[Pedido],Productos_frec_tabla[[#This Row],[Productoos]])</f>
        <v>0</v>
      </c>
      <c r="D235" s="67" t="str">
        <f>PROPER(Productos_frec_tabla[[#This Row],[Productoos]])</f>
        <v>Flan De La Abuela</v>
      </c>
      <c r="E235" s="67" t="str">
        <f>PROPER(Productos_frec_tabla[[#This Row],[Productoos]])</f>
        <v>Flan De La Abuela</v>
      </c>
      <c r="F235" s="67">
        <f>COUNTIF(Productos_frec_tabla[Columna1],Productos_frec_tabla[[#This Row],[Columna12]])</f>
        <v>1</v>
      </c>
      <c r="Y235" t="str">
        <v>Maruchan</v>
      </c>
      <c r="Z235" t="s">
        <v>933</v>
      </c>
    </row>
    <row r="236" spans="2:26" x14ac:dyDescent="0.25">
      <c r="B236" s="67" t="s">
        <v>434</v>
      </c>
      <c r="C236" s="67">
        <f>COUNTIF(Tabla1[Pedido],Productos_frec_tabla[[#This Row],[Productoos]])</f>
        <v>0</v>
      </c>
      <c r="D236" s="67" t="str">
        <f>PROPER(Productos_frec_tabla[[#This Row],[Productoos]])</f>
        <v>Frijoles</v>
      </c>
      <c r="E236" s="67" t="str">
        <f>PROPER(Productos_frec_tabla[[#This Row],[Productoos]])</f>
        <v>Frijoles</v>
      </c>
      <c r="F236" s="67">
        <f>COUNTIF(Productos_frec_tabla[Columna1],Productos_frec_tabla[[#This Row],[Columna12]])</f>
        <v>1</v>
      </c>
      <c r="Y236" t="str">
        <v>mayonesa mediana</v>
      </c>
      <c r="Z236" t="s">
        <v>775</v>
      </c>
    </row>
    <row r="237" spans="2:26" x14ac:dyDescent="0.25">
      <c r="B237" s="67" t="s">
        <v>450</v>
      </c>
      <c r="C237" s="67">
        <f>COUNTIF(Tabla1[Pedido],Productos_frec_tabla[[#This Row],[Productoos]])</f>
        <v>0</v>
      </c>
      <c r="D237" s="67" t="str">
        <f>PROPER(Productos_frec_tabla[[#This Row],[Productoos]])</f>
        <v>Fritos Sal</v>
      </c>
      <c r="E237" s="67" t="str">
        <f>PROPER(Productos_frec_tabla[[#This Row],[Productoos]])</f>
        <v>Fritos Sal</v>
      </c>
      <c r="F237" s="67">
        <f>COUNTIF(Productos_frec_tabla[Columna1],Productos_frec_tabla[[#This Row],[Columna12]])</f>
        <v>1</v>
      </c>
      <c r="Y237" t="str">
        <v>Mega</v>
      </c>
      <c r="Z237" t="s">
        <v>613</v>
      </c>
    </row>
    <row r="238" spans="2:26" x14ac:dyDescent="0.25">
      <c r="B238" s="69" t="s">
        <v>615</v>
      </c>
      <c r="C238" s="67">
        <f>COUNTIF(Tabla1[Pedido],Productos_frec_tabla[[#This Row],[Productoos]])</f>
        <v>0</v>
      </c>
      <c r="D238" s="67" t="str">
        <f>PROPER(Productos_frec_tabla[[#This Row],[Productoos]])</f>
        <v xml:space="preserve">Garrafon </v>
      </c>
      <c r="E238" s="67" t="str">
        <f>PROPER(Productos_frec_tabla[[#This Row],[Productoos]])</f>
        <v xml:space="preserve">Garrafon </v>
      </c>
      <c r="F238" s="67">
        <f>COUNTIF(Productos_frec_tabla[Columna1],Productos_frec_tabla[[#This Row],[Columna12]])</f>
        <v>1</v>
      </c>
      <c r="Y238" t="str">
        <v>Mundet roja prisco</v>
      </c>
      <c r="Z238" t="s">
        <v>781</v>
      </c>
    </row>
    <row r="239" spans="2:26" x14ac:dyDescent="0.25">
      <c r="B239" s="67" t="s">
        <v>760</v>
      </c>
      <c r="C239" s="67">
        <f>COUNTIF(Tabla1[Pedido],Productos_frec_tabla[[#This Row],[Productoos]])</f>
        <v>0</v>
      </c>
      <c r="D239" s="67" t="str">
        <f>PROPER(Productos_frec_tabla[[#This Row],[Productoos]])</f>
        <v>Garrafón De Agua5L</v>
      </c>
      <c r="E239" s="67" t="str">
        <f>PROPER(Productos_frec_tabla[[#This Row],[Productoos]])</f>
        <v>Garrafón De Agua5L</v>
      </c>
      <c r="F239" s="67">
        <f>COUNTIF(Productos_frec_tabla[Columna1],Productos_frec_tabla[[#This Row],[Columna12]])</f>
        <v>1</v>
      </c>
      <c r="Y239" t="str">
        <v>naturales palomitas</v>
      </c>
      <c r="Z239" t="s">
        <v>712</v>
      </c>
    </row>
    <row r="240" spans="2:26" x14ac:dyDescent="0.25">
      <c r="B240" s="69" t="s">
        <v>504</v>
      </c>
      <c r="C240" s="67">
        <f>COUNTIF(Tabla1[Pedido],Productos_frec_tabla[[#This Row],[Productoos]])</f>
        <v>0</v>
      </c>
      <c r="D240" s="67" t="str">
        <f>PROPER(Productos_frec_tabla[[#This Row],[Productoos]])</f>
        <v>Garrafon Gonafont 20L</v>
      </c>
      <c r="E240" s="67" t="str">
        <f>PROPER(Productos_frec_tabla[[#This Row],[Productoos]])</f>
        <v>Garrafon Gonafont 20L</v>
      </c>
      <c r="F240" s="67">
        <f>COUNTIF(Productos_frec_tabla[Columna1],Productos_frec_tabla[[#This Row],[Columna12]])</f>
        <v>1</v>
      </c>
      <c r="Y240" t="str">
        <v>palomitas ACTO naturales</v>
      </c>
      <c r="Z240" t="s">
        <v>925</v>
      </c>
    </row>
    <row r="241" spans="2:26" x14ac:dyDescent="0.25">
      <c r="B241" s="69" t="s">
        <v>723</v>
      </c>
      <c r="C241" s="67">
        <f>COUNTIF(Tabla1[Pedido],Productos_frec_tabla[[#This Row],[Productoos]])</f>
        <v>0</v>
      </c>
      <c r="D241" s="67" t="str">
        <f>PROPER(Productos_frec_tabla[[#This Row],[Productoos]])</f>
        <v xml:space="preserve">Hamburgesas </v>
      </c>
      <c r="E241" s="67" t="str">
        <f>PROPER(Productos_frec_tabla[[#This Row],[Productoos]])</f>
        <v xml:space="preserve">Hamburgesas </v>
      </c>
      <c r="F241" s="67">
        <f>COUNTIF(Productos_frec_tabla[Columna1],Productos_frec_tabla[[#This Row],[Columna12]])</f>
        <v>1</v>
      </c>
      <c r="Y241" t="str">
        <v>pan bimbo</v>
      </c>
      <c r="Z241" t="s">
        <v>750</v>
      </c>
    </row>
    <row r="242" spans="2:26" x14ac:dyDescent="0.25">
      <c r="B242" s="67" t="s">
        <v>729</v>
      </c>
      <c r="C242" s="67">
        <f>COUNTIF(Tabla1[Pedido],Productos_frec_tabla[[#This Row],[Productoos]])</f>
        <v>0</v>
      </c>
      <c r="D242" s="67" t="str">
        <f>PROPER(Productos_frec_tabla[[#This Row],[Productoos]])</f>
        <v>Hojas Opalinas</v>
      </c>
      <c r="E242" s="67" t="str">
        <f>PROPER(Productos_frec_tabla[[#This Row],[Productoos]])</f>
        <v>Hojas Opalinas</v>
      </c>
      <c r="F242" s="67">
        <f>COUNTIF(Productos_frec_tabla[Columna1],Productos_frec_tabla[[#This Row],[Columna12]])</f>
        <v>1</v>
      </c>
      <c r="Y242" t="str">
        <v>pan Bimbo grande</v>
      </c>
      <c r="Z242" t="s">
        <v>754</v>
      </c>
    </row>
    <row r="243" spans="2:26" x14ac:dyDescent="0.25">
      <c r="B243" s="67" t="s">
        <v>440</v>
      </c>
      <c r="C243" s="67">
        <f>COUNTIF(Tabla1[Pedido],Productos_frec_tabla[[#This Row],[Productoos]])</f>
        <v>0</v>
      </c>
      <c r="D243" s="67" t="str">
        <f>PROPER(Productos_frec_tabla[[#This Row],[Productoos]])</f>
        <v>Hotdogs</v>
      </c>
      <c r="E243" s="67" t="str">
        <f>PROPER(Productos_frec_tabla[[#This Row],[Productoos]])</f>
        <v>Hotdogs</v>
      </c>
      <c r="F243" s="67">
        <f>COUNTIF(Productos_frec_tabla[Columna1],Productos_frec_tabla[[#This Row],[Columna12]])</f>
        <v>1</v>
      </c>
      <c r="Y243" t="str">
        <v>PANES DEL PAN CHINO</v>
      </c>
      <c r="Z243" t="s">
        <v>718</v>
      </c>
    </row>
    <row r="244" spans="2:26" x14ac:dyDescent="0.25">
      <c r="B244" s="69" t="s">
        <v>611</v>
      </c>
      <c r="C244" s="67">
        <f>COUNTIF(Tabla1[Pedido],Productos_frec_tabla[[#This Row],[Productoos]])</f>
        <v>0</v>
      </c>
      <c r="D244" s="67" t="str">
        <f>PROPER(Productos_frec_tabla[[#This Row],[Productoos]])</f>
        <v>Huevo Kinder</v>
      </c>
      <c r="E244" s="67" t="str">
        <f>PROPER(Productos_frec_tabla[[#This Row],[Productoos]])</f>
        <v>Huevo Kinder</v>
      </c>
      <c r="F244" s="67">
        <f>COUNTIF(Productos_frec_tabla[Columna1],Productos_frec_tabla[[#This Row],[Columna12]])</f>
        <v>1</v>
      </c>
      <c r="Y244" t="str">
        <v>Panque de pàsas bimbo</v>
      </c>
      <c r="Z244" t="s">
        <v>555</v>
      </c>
    </row>
    <row r="245" spans="2:26" x14ac:dyDescent="0.25">
      <c r="B245" s="69" t="s">
        <v>564</v>
      </c>
      <c r="C245" s="67">
        <f>COUNTIF(Tabla1[Pedido],Productos_frec_tabla[[#This Row],[Productoos]])</f>
        <v>0</v>
      </c>
      <c r="D245" s="67" t="str">
        <f>PROPER(Productos_frec_tabla[[#This Row],[Productoos]])</f>
        <v>Impresiones</v>
      </c>
      <c r="E245" s="67" t="str">
        <f>PROPER(Productos_frec_tabla[[#This Row],[Productoos]])</f>
        <v>Impresiones</v>
      </c>
      <c r="F245" s="67">
        <f>COUNTIF(Productos_frec_tabla[Columna1],Productos_frec_tabla[[#This Row],[Columna12]])</f>
        <v>1</v>
      </c>
      <c r="Y245" t="str">
        <v xml:space="preserve">papas adobas </v>
      </c>
      <c r="Z245" t="s">
        <v>947</v>
      </c>
    </row>
    <row r="246" spans="2:26" x14ac:dyDescent="0.25">
      <c r="B246" s="69" t="s">
        <v>755</v>
      </c>
      <c r="C246" s="67">
        <f>COUNTIF(Tabla1[Pedido],Productos_frec_tabla[[#This Row],[Productoos]])</f>
        <v>0</v>
      </c>
      <c r="D246" s="67" t="str">
        <f>PROPER(Productos_frec_tabla[[#This Row],[Productoos]])</f>
        <v>Jabón Axxe</v>
      </c>
      <c r="E246" s="67" t="str">
        <f>PROPER(Productos_frec_tabla[[#This Row],[Productoos]])</f>
        <v>Jabón Axxe</v>
      </c>
      <c r="F246" s="67">
        <f>COUNTIF(Productos_frec_tabla[Columna1],Productos_frec_tabla[[#This Row],[Columna12]])</f>
        <v>1</v>
      </c>
      <c r="Y246" t="str">
        <v>papel aluminio</v>
      </c>
      <c r="Z246" t="s">
        <v>765</v>
      </c>
    </row>
    <row r="247" spans="2:26" x14ac:dyDescent="0.25">
      <c r="B247" s="67" t="s">
        <v>749</v>
      </c>
      <c r="C247" s="67">
        <f>COUNTIF(Tabla1[Pedido],Productos_frec_tabla[[#This Row],[Productoos]])</f>
        <v>0</v>
      </c>
      <c r="D247" s="67" t="str">
        <f>PROPER(Productos_frec_tabla[[#This Row],[Productoos]])</f>
        <v>Jamon Pierna 1/2</v>
      </c>
      <c r="E247" s="67" t="str">
        <f>PROPER(Productos_frec_tabla[[#This Row],[Productoos]])</f>
        <v>Jamon Pierna 1/2</v>
      </c>
      <c r="F247" s="67">
        <f>COUNTIF(Productos_frec_tabla[Columna1],Productos_frec_tabla[[#This Row],[Columna12]])</f>
        <v>1</v>
      </c>
      <c r="Y247" t="str">
        <v>Paq. Vasos chicos</v>
      </c>
      <c r="Z247" t="s">
        <v>432</v>
      </c>
    </row>
    <row r="248" spans="2:26" x14ac:dyDescent="0.25">
      <c r="B248" s="67" t="s">
        <v>770</v>
      </c>
      <c r="C248" s="67">
        <f>COUNTIF(Tabla1[Pedido],Productos_frec_tabla[[#This Row],[Productoos]])</f>
        <v>0</v>
      </c>
      <c r="D248" s="67" t="str">
        <f>PROPER(Productos_frec_tabla[[#This Row],[Productoos]])</f>
        <v xml:space="preserve">Jarrito De Uva </v>
      </c>
      <c r="E248" s="67" t="str">
        <f>PROPER(Productos_frec_tabla[[#This Row],[Productoos]])</f>
        <v xml:space="preserve">Jarrito De Uva </v>
      </c>
      <c r="F248" s="67">
        <f>COUNTIF(Productos_frec_tabla[Columna1],Productos_frec_tabla[[#This Row],[Columna12]])</f>
        <v>1</v>
      </c>
      <c r="Y248" t="str">
        <v>Paq. Vasos Desechables</v>
      </c>
      <c r="Z248" t="s">
        <v>431</v>
      </c>
    </row>
    <row r="249" spans="2:26" x14ac:dyDescent="0.25">
      <c r="B249" s="67" t="s">
        <v>630</v>
      </c>
      <c r="C249" s="67">
        <f>COUNTIF(Tabla1[Pedido],Productos_frec_tabla[[#This Row],[Productoos]])</f>
        <v>0</v>
      </c>
      <c r="D249" s="67" t="str">
        <f>PROPER(Productos_frec_tabla[[#This Row],[Productoos]])</f>
        <v>Jax</v>
      </c>
      <c r="E249" s="67" t="str">
        <f>PROPER(Productos_frec_tabla[[#This Row],[Productoos]])</f>
        <v>Jax</v>
      </c>
      <c r="F249" s="67">
        <f>COUNTIF(Productos_frec_tabla[Columna1],Productos_frec_tabla[[#This Row],[Columna12]])</f>
        <v>1</v>
      </c>
      <c r="Y249" t="str">
        <v>paquete de galletas piruetas</v>
      </c>
      <c r="Z249" t="s">
        <v>663</v>
      </c>
    </row>
    <row r="250" spans="2:26" x14ac:dyDescent="0.25">
      <c r="B250" s="67" t="s">
        <v>769</v>
      </c>
      <c r="C250" s="67">
        <f>COUNTIF(Tabla1[Pedido],Productos_frec_tabla[[#This Row],[Productoos]])</f>
        <v>0</v>
      </c>
      <c r="D250" s="67" t="str">
        <f>PROPER(Productos_frec_tabla[[#This Row],[Productoos]])</f>
        <v>Jugo De Manzana De Litro</v>
      </c>
      <c r="E250" s="67" t="str">
        <f>PROPER(Productos_frec_tabla[[#This Row],[Productoos]])</f>
        <v>Jugo De Manzana De Litro</v>
      </c>
      <c r="F250" s="67">
        <f>COUNTIF(Productos_frec_tabla[Columna1],Productos_frec_tabla[[#This Row],[Columna12]])</f>
        <v>1</v>
      </c>
      <c r="Y250" t="str">
        <v>paquete de pañales j</v>
      </c>
      <c r="Z250" t="s">
        <v>621</v>
      </c>
    </row>
    <row r="251" spans="2:26" x14ac:dyDescent="0.25">
      <c r="B251" s="69" t="s">
        <v>671</v>
      </c>
      <c r="C251" s="67">
        <f>COUNTIF(Tabla1[Pedido],Productos_frec_tabla[[#This Row],[Productoos]])</f>
        <v>0</v>
      </c>
      <c r="D251" s="67" t="str">
        <f>PROPER(Productos_frec_tabla[[#This Row],[Productoos]])</f>
        <v>Kg De Tortillas</v>
      </c>
      <c r="E251" s="67" t="str">
        <f>PROPER(Productos_frec_tabla[[#This Row],[Productoos]])</f>
        <v>Kg De Tortillas</v>
      </c>
      <c r="F251" s="67">
        <f>COUNTIF(Productos_frec_tabla[Columna1],Productos_frec_tabla[[#This Row],[Columna12]])</f>
        <v>1</v>
      </c>
      <c r="Y251" t="str">
        <v>pechuga entera</v>
      </c>
      <c r="Z251" t="s">
        <v>610</v>
      </c>
    </row>
    <row r="252" spans="2:26" x14ac:dyDescent="0.25">
      <c r="B252" s="69" t="s">
        <v>922</v>
      </c>
      <c r="C252" s="67">
        <f>COUNTIF(Tabla1[Pedido],Productos_frec_tabla[[#This Row],[Productoos]])</f>
        <v>0</v>
      </c>
      <c r="D252" s="67" t="str">
        <f>PROPER(Productos_frec_tabla[[#This Row],[Productoos]])</f>
        <v xml:space="preserve">Kilo Y Medio De  Pierna </v>
      </c>
      <c r="E252" s="67" t="str">
        <f>PROPER(Productos_frec_tabla[[#This Row],[Productoos]])</f>
        <v xml:space="preserve">Kilo Y Medio De  Pierna </v>
      </c>
      <c r="F252" s="67">
        <f>COUNTIF(Productos_frec_tabla[Columna1],Productos_frec_tabla[[#This Row],[Columna12]])</f>
        <v>1</v>
      </c>
      <c r="Y252" t="str">
        <v>pedido de farmacia gjr</v>
      </c>
      <c r="Z252" t="s">
        <v>554</v>
      </c>
    </row>
    <row r="253" spans="2:26" x14ac:dyDescent="0.25">
      <c r="B253" s="69" t="s">
        <v>923</v>
      </c>
      <c r="C253" s="67">
        <f>COUNTIF(Tabla1[Pedido],Productos_frec_tabla[[#This Row],[Productoos]])</f>
        <v>0</v>
      </c>
      <c r="D253" s="67" t="str">
        <f>PROPER(Productos_frec_tabla[[#This Row],[Productoos]])</f>
        <v>Kilo Y Medio De Muslo</v>
      </c>
      <c r="E253" s="67" t="str">
        <f>PROPER(Productos_frec_tabla[[#This Row],[Productoos]])</f>
        <v>Kilo Y Medio De Muslo</v>
      </c>
      <c r="F253" s="67">
        <f>COUNTIF(Productos_frec_tabla[Columna1],Productos_frec_tabla[[#This Row],[Columna12]])</f>
        <v>1</v>
      </c>
      <c r="Y253" t="str">
        <v>Peñafiel SOFT de frutos rojos</v>
      </c>
      <c r="Z253" t="s">
        <v>652</v>
      </c>
    </row>
    <row r="254" spans="2:26" x14ac:dyDescent="0.25">
      <c r="B254" s="69" t="s">
        <v>591</v>
      </c>
      <c r="C254" s="67">
        <f>COUNTIF(Tabla1[Pedido],Productos_frec_tabla[[#This Row],[Productoos]])</f>
        <v>0</v>
      </c>
      <c r="D254" s="67" t="str">
        <f>PROPER(Productos_frec_tabla[[#This Row],[Productoos]])</f>
        <v xml:space="preserve">Latte Tamaño Grande Con Leche Deslactosada Media Carga </v>
      </c>
      <c r="E254" s="67" t="str">
        <f>PROPER(Productos_frec_tabla[[#This Row],[Productoos]])</f>
        <v xml:space="preserve">Latte Tamaño Grande Con Leche Deslactosada Media Carga </v>
      </c>
      <c r="F254" s="67">
        <f>COUNTIF(Productos_frec_tabla[Columna1],Productos_frec_tabla[[#This Row],[Columna12]])</f>
        <v>1</v>
      </c>
      <c r="Y254" t="str">
        <v>Plastico para envolver</v>
      </c>
      <c r="Z254" t="s">
        <v>112</v>
      </c>
    </row>
    <row r="255" spans="2:26" x14ac:dyDescent="0.25">
      <c r="B255" s="69" t="s">
        <v>557</v>
      </c>
      <c r="C255" s="67">
        <f>COUNTIF(Tabla1[Pedido],Productos_frec_tabla[[#This Row],[Productoos]])</f>
        <v>0</v>
      </c>
      <c r="D255" s="67" t="str">
        <f>PROPER(Productos_frec_tabla[[#This Row],[Productoos]])</f>
        <v>Leche</v>
      </c>
      <c r="E255" s="67" t="str">
        <f>PROPER(Productos_frec_tabla[[#This Row],[Productoos]])</f>
        <v>Leche</v>
      </c>
      <c r="F255" s="67">
        <f>COUNTIF(Productos_frec_tabla[Columna1],Productos_frec_tabla[[#This Row],[Columna12]])</f>
        <v>1</v>
      </c>
      <c r="Y255" t="str">
        <v>pollo</v>
      </c>
      <c r="Z255" t="s">
        <v>561</v>
      </c>
    </row>
    <row r="256" spans="2:26" x14ac:dyDescent="0.25">
      <c r="B256" s="69" t="s">
        <v>616</v>
      </c>
      <c r="C256" s="67">
        <f>COUNTIF(Tabla1[Pedido],Productos_frec_tabla[[#This Row],[Productoos]])</f>
        <v>0</v>
      </c>
      <c r="D256" s="67" t="str">
        <f>PROPER(Productos_frec_tabla[[#This Row],[Productoos]])</f>
        <v>Leche Clavel</v>
      </c>
      <c r="E256" s="67" t="str">
        <f>PROPER(Productos_frec_tabla[[#This Row],[Productoos]])</f>
        <v>Leche Clavel</v>
      </c>
      <c r="F256" s="67">
        <f>COUNTIF(Productos_frec_tabla[Columna1],Productos_frec_tabla[[#This Row],[Columna12]])</f>
        <v>1</v>
      </c>
      <c r="Y256" t="str">
        <v>pollo adobado</v>
      </c>
      <c r="Z256" t="s">
        <v>620</v>
      </c>
    </row>
    <row r="257" spans="2:26" x14ac:dyDescent="0.25">
      <c r="B257" s="69" t="s">
        <v>785</v>
      </c>
      <c r="C257" s="67">
        <f>COUNTIF(Tabla1[Pedido],Productos_frec_tabla[[#This Row],[Productoos]])</f>
        <v>0</v>
      </c>
      <c r="D257" s="67" t="str">
        <f>PROPER(Productos_frec_tabla[[#This Row],[Productoos]])</f>
        <v>Lucky</v>
      </c>
      <c r="E257" s="67" t="str">
        <f>PROPER(Productos_frec_tabla[[#This Row],[Productoos]])</f>
        <v>Lucky</v>
      </c>
      <c r="F257" s="67">
        <f>COUNTIF(Productos_frec_tabla[Columna1],Productos_frec_tabla[[#This Row],[Columna12]])</f>
        <v>1</v>
      </c>
      <c r="Y257" t="str">
        <v>Pozole Grande</v>
      </c>
      <c r="Z257" t="s">
        <v>444</v>
      </c>
    </row>
    <row r="258" spans="2:26" x14ac:dyDescent="0.25">
      <c r="B258" s="67" t="s">
        <v>427</v>
      </c>
      <c r="C258" s="67">
        <f>COUNTIF(Tabla1[Pedido],Productos_frec_tabla[[#This Row],[Productoos]])</f>
        <v>0</v>
      </c>
      <c r="D258" s="67" t="str">
        <f>PROPER(Productos_frec_tabla[[#This Row],[Productoos]])</f>
        <v>Marlboro Blanco</v>
      </c>
      <c r="E258" s="67" t="str">
        <f>PROPER(Productos_frec_tabla[[#This Row],[Productoos]])</f>
        <v>Marlboro Blanco</v>
      </c>
      <c r="F258" s="67">
        <f>COUNTIF(Productos_frec_tabla[Columna1],Productos_frec_tabla[[#This Row],[Columna12]])</f>
        <v>1</v>
      </c>
      <c r="Y258" t="str">
        <v>Queso manchego</v>
      </c>
      <c r="Z258" t="s">
        <v>447</v>
      </c>
    </row>
    <row r="259" spans="2:26" x14ac:dyDescent="0.25">
      <c r="B259" s="67" t="s">
        <v>428</v>
      </c>
      <c r="C259" s="67">
        <f>COUNTIF(Tabla1[Pedido],Productos_frec_tabla[[#This Row],[Productoos]])</f>
        <v>0</v>
      </c>
      <c r="D259" s="67" t="str">
        <f>PROPER(Productos_frec_tabla[[#This Row],[Productoos]])</f>
        <v>Marlboro Rojo 100</v>
      </c>
      <c r="E259" s="67" t="str">
        <f>PROPER(Productos_frec_tabla[[#This Row],[Productoos]])</f>
        <v>Marlboro Rojo 100</v>
      </c>
      <c r="F259" s="67">
        <f>COUNTIF(Productos_frec_tabla[Columna1],Productos_frec_tabla[[#This Row],[Columna12]])</f>
        <v>1</v>
      </c>
      <c r="Y259" t="str">
        <v>rancheritos</v>
      </c>
      <c r="Z259" t="s">
        <v>774</v>
      </c>
    </row>
    <row r="260" spans="2:26" x14ac:dyDescent="0.25">
      <c r="B260" s="67" t="s">
        <v>933</v>
      </c>
      <c r="C260" s="67">
        <f>COUNTIF(Tabla1[Pedido],Productos_frec_tabla[[#This Row],[Productoos]])</f>
        <v>0</v>
      </c>
      <c r="D260" s="67" t="str">
        <f>PROPER(Productos_frec_tabla[[#This Row],[Productoos]])</f>
        <v>Maruchan</v>
      </c>
      <c r="E260" s="67" t="str">
        <f>PROPER(Productos_frec_tabla[[#This Row],[Productoos]])</f>
        <v>Maruchan</v>
      </c>
      <c r="F260" s="67">
        <f>COUNTIF(Productos_frec_tabla[Columna1],Productos_frec_tabla[[#This Row],[Columna12]])</f>
        <v>1</v>
      </c>
      <c r="Y260" t="str">
        <v>Recoger pedido</v>
      </c>
      <c r="Z260" t="s">
        <v>303</v>
      </c>
    </row>
    <row r="261" spans="2:26" x14ac:dyDescent="0.25">
      <c r="B261" s="69" t="s">
        <v>775</v>
      </c>
      <c r="C261" s="67">
        <f>COUNTIF(Tabla1[Pedido],Productos_frec_tabla[[#This Row],[Productoos]])</f>
        <v>0</v>
      </c>
      <c r="D261" s="67" t="str">
        <f>PROPER(Productos_frec_tabla[[#This Row],[Productoos]])</f>
        <v>Mayonesa Mediana</v>
      </c>
      <c r="E261" s="67" t="str">
        <f>PROPER(Productos_frec_tabla[[#This Row],[Productoos]])</f>
        <v>Mayonesa Mediana</v>
      </c>
      <c r="F261" s="67">
        <f>COUNTIF(Productos_frec_tabla[Columna1],Productos_frec_tabla[[#This Row],[Columna12]])</f>
        <v>1</v>
      </c>
      <c r="Y261" t="str">
        <v>Redbull</v>
      </c>
      <c r="Z261" t="s">
        <v>448</v>
      </c>
    </row>
    <row r="262" spans="2:26" x14ac:dyDescent="0.25">
      <c r="B262" s="69" t="s">
        <v>613</v>
      </c>
      <c r="C262" s="67">
        <f>COUNTIF(Tabla1[Pedido],Productos_frec_tabla[[#This Row],[Productoos]])</f>
        <v>0</v>
      </c>
      <c r="D262" s="67" t="str">
        <f>PROPER(Productos_frec_tabla[[#This Row],[Productoos]])</f>
        <v>Mega</v>
      </c>
      <c r="E262" s="67" t="str">
        <f>PROPER(Productos_frec_tabla[[#This Row],[Productoos]])</f>
        <v>Mega</v>
      </c>
      <c r="F262" s="67">
        <f>COUNTIF(Productos_frec_tabla[Columna1],Productos_frec_tabla[[#This Row],[Columna12]])</f>
        <v>1</v>
      </c>
      <c r="Y262" t="str">
        <v>refresco senzao</v>
      </c>
      <c r="Z262" t="s">
        <v>619</v>
      </c>
    </row>
    <row r="263" spans="2:26" x14ac:dyDescent="0.25">
      <c r="B263" s="67" t="s">
        <v>781</v>
      </c>
      <c r="C263" s="67">
        <f>COUNTIF(Tabla1[Pedido],Productos_frec_tabla[[#This Row],[Productoos]])</f>
        <v>0</v>
      </c>
      <c r="D263" s="67" t="str">
        <f>PROPER(Productos_frec_tabla[[#This Row],[Productoos]])</f>
        <v>Mundet Roja Prisco</v>
      </c>
      <c r="E263" s="67" t="str">
        <f>PROPER(Productos_frec_tabla[[#This Row],[Productoos]])</f>
        <v>Mundet Roja Prisco</v>
      </c>
      <c r="F263" s="67">
        <f>COUNTIF(Productos_frec_tabla[Columna1],Productos_frec_tabla[[#This Row],[Columna12]])</f>
        <v>1</v>
      </c>
      <c r="Y263" t="str">
        <v>roles individuales de canela</v>
      </c>
      <c r="Z263" t="s">
        <v>665</v>
      </c>
    </row>
    <row r="264" spans="2:26" x14ac:dyDescent="0.25">
      <c r="B264" s="69" t="s">
        <v>712</v>
      </c>
      <c r="C264" s="67">
        <f>COUNTIF(Tabla1[Pedido],Productos_frec_tabla[[#This Row],[Productoos]])</f>
        <v>0</v>
      </c>
      <c r="D264" s="67" t="str">
        <f>PROPER(Productos_frec_tabla[[#This Row],[Productoos]])</f>
        <v>Naturales Palomitas</v>
      </c>
      <c r="E264" s="67" t="str">
        <f>PROPER(Productos_frec_tabla[[#This Row],[Productoos]])</f>
        <v>Naturales Palomitas</v>
      </c>
      <c r="F264" s="67">
        <f>COUNTIF(Productos_frec_tabla[Columna1],Productos_frec_tabla[[#This Row],[Columna12]])</f>
        <v>1</v>
      </c>
      <c r="Y264" t="str">
        <v>Rollo de papel yakul</v>
      </c>
      <c r="Z264" t="s">
        <v>715</v>
      </c>
    </row>
    <row r="265" spans="2:26" x14ac:dyDescent="0.25">
      <c r="B265" s="67" t="s">
        <v>925</v>
      </c>
      <c r="C265" s="67">
        <f>COUNTIF(Tabla1[Pedido],Productos_frec_tabla[[#This Row],[Productoos]])</f>
        <v>0</v>
      </c>
      <c r="D265" s="67" t="str">
        <f>PROPER(Productos_frec_tabla[[#This Row],[Productoos]])</f>
        <v>Palomitas Acto Naturales</v>
      </c>
      <c r="E265" s="67" t="str">
        <f>PROPER(Productos_frec_tabla[[#This Row],[Productoos]])</f>
        <v>Palomitas Acto Naturales</v>
      </c>
      <c r="F265" s="67">
        <f>COUNTIF(Productos_frec_tabla[Columna1],Productos_frec_tabla[[#This Row],[Columna12]])</f>
        <v>1</v>
      </c>
      <c r="Y265" t="str">
        <v>Rufles Queso grandes</v>
      </c>
      <c r="Z265" t="s">
        <v>617</v>
      </c>
    </row>
    <row r="266" spans="2:26" x14ac:dyDescent="0.25">
      <c r="B266" s="69" t="s">
        <v>750</v>
      </c>
      <c r="C266" s="67">
        <f>COUNTIF(Tabla1[Pedido],Productos_frec_tabla[[#This Row],[Productoos]])</f>
        <v>0</v>
      </c>
      <c r="D266" s="67" t="str">
        <f>PROPER(Productos_frec_tabla[[#This Row],[Productoos]])</f>
        <v>Pan Bimbo</v>
      </c>
      <c r="E266" s="67" t="str">
        <f>PROPER(Productos_frec_tabla[[#This Row],[Productoos]])</f>
        <v>Pan Bimbo</v>
      </c>
      <c r="F266" s="67">
        <f>COUNTIF(Productos_frec_tabla[Columna1],Productos_frec_tabla[[#This Row],[Columna12]])</f>
        <v>1</v>
      </c>
      <c r="Y266" t="str">
        <v>Sabritas Moradas</v>
      </c>
      <c r="Z266" t="s">
        <v>414</v>
      </c>
    </row>
    <row r="267" spans="2:26" x14ac:dyDescent="0.25">
      <c r="B267" s="69" t="s">
        <v>754</v>
      </c>
      <c r="C267" s="67">
        <f>COUNTIF(Tabla1[Pedido],Productos_frec_tabla[[#This Row],[Productoos]])</f>
        <v>0</v>
      </c>
      <c r="D267" s="67" t="str">
        <f>PROPER(Productos_frec_tabla[[#This Row],[Productoos]])</f>
        <v>Pan Bimbo Grande</v>
      </c>
      <c r="E267" s="67" t="str">
        <f>PROPER(Productos_frec_tabla[[#This Row],[Productoos]])</f>
        <v>Pan Bimbo Grande</v>
      </c>
      <c r="F267" s="67">
        <f>COUNTIF(Productos_frec_tabla[Columna1],Productos_frec_tabla[[#This Row],[Columna12]])</f>
        <v>1</v>
      </c>
      <c r="Y267" t="str">
        <v>sandwich</v>
      </c>
      <c r="Z267" t="s">
        <v>439</v>
      </c>
    </row>
    <row r="268" spans="2:26" x14ac:dyDescent="0.25">
      <c r="B268" s="69" t="s">
        <v>718</v>
      </c>
      <c r="C268" s="67">
        <f>COUNTIF(Tabla1[Pedido],Productos_frec_tabla[[#This Row],[Productoos]])</f>
        <v>0</v>
      </c>
      <c r="D268" s="67" t="str">
        <f>PROPER(Productos_frec_tabla[[#This Row],[Productoos]])</f>
        <v>Panes Del Pan Chino</v>
      </c>
      <c r="E268" s="67" t="str">
        <f>PROPER(Productos_frec_tabla[[#This Row],[Productoos]])</f>
        <v>Panes Del Pan Chino</v>
      </c>
      <c r="F268" s="67">
        <f>COUNTIF(Productos_frec_tabla[Columna1],Productos_frec_tabla[[#This Row],[Columna12]])</f>
        <v>1</v>
      </c>
      <c r="Y268" t="str">
        <v>servicio de tintoreria</v>
      </c>
      <c r="Z268" t="s">
        <v>667</v>
      </c>
    </row>
    <row r="269" spans="2:26" x14ac:dyDescent="0.25">
      <c r="B269" s="69" t="s">
        <v>555</v>
      </c>
      <c r="C269" s="67">
        <f>COUNTIF(Tabla1[Pedido],Productos_frec_tabla[[#This Row],[Productoos]])</f>
        <v>0</v>
      </c>
      <c r="D269" s="67" t="str">
        <f>PROPER(Productos_frec_tabla[[#This Row],[Productoos]])</f>
        <v>Panque De Pàsas Bimbo</v>
      </c>
      <c r="E269" s="67" t="str">
        <f>PROPER(Productos_frec_tabla[[#This Row],[Productoos]])</f>
        <v>Panque De Pàsas Bimbo</v>
      </c>
      <c r="F269" s="67">
        <f>COUNTIF(Productos_frec_tabla[Columna1],Productos_frec_tabla[[#This Row],[Columna12]])</f>
        <v>1</v>
      </c>
      <c r="Y269" t="str">
        <v>suerox de uva</v>
      </c>
      <c r="Z269" t="s">
        <v>772</v>
      </c>
    </row>
    <row r="270" spans="2:26" x14ac:dyDescent="0.25">
      <c r="B270" s="67" t="s">
        <v>947</v>
      </c>
      <c r="C270" s="67">
        <f>COUNTIF(Tabla1[Pedido],Productos_frec_tabla[[#This Row],[Productoos]])</f>
        <v>0</v>
      </c>
      <c r="D270" s="67" t="str">
        <f>PROPER(Productos_frec_tabla[[#This Row],[Productoos]])</f>
        <v xml:space="preserve">Papas Adobas </v>
      </c>
      <c r="E270" s="67" t="str">
        <f>PROPER(Productos_frec_tabla[[#This Row],[Productoos]])</f>
        <v xml:space="preserve">Papas Adobas </v>
      </c>
      <c r="F270" s="67">
        <f>COUNTIF(Productos_frec_tabla[Columna1],Productos_frec_tabla[[#This Row],[Columna12]])</f>
        <v>1</v>
      </c>
      <c r="Y270" t="str">
        <v>1/2 barra de queso doble crema chinchota</v>
      </c>
      <c r="Z270" t="s">
        <v>953</v>
      </c>
    </row>
    <row r="271" spans="2:26" x14ac:dyDescent="0.25">
      <c r="B271" s="67" t="s">
        <v>765</v>
      </c>
      <c r="C271" s="67">
        <f>COUNTIF(Tabla1[Pedido],Productos_frec_tabla[[#This Row],[Productoos]])</f>
        <v>0</v>
      </c>
      <c r="D271" s="67" t="str">
        <f>PROPER(Productos_frec_tabla[[#This Row],[Productoos]])</f>
        <v>Papel Aluminio</v>
      </c>
      <c r="E271" s="67" t="str">
        <f>PROPER(Productos_frec_tabla[[#This Row],[Productoos]])</f>
        <v>Papel Aluminio</v>
      </c>
      <c r="F271" s="67">
        <f>COUNTIF(Productos_frec_tabla[Columna1],Productos_frec_tabla[[#This Row],[Columna12]])</f>
        <v>1</v>
      </c>
      <c r="Y271" t="str">
        <v>topo chico</v>
      </c>
      <c r="Z271" t="s">
        <v>767</v>
      </c>
    </row>
    <row r="272" spans="2:26" x14ac:dyDescent="0.25">
      <c r="B272" s="67" t="s">
        <v>432</v>
      </c>
      <c r="C272" s="67">
        <f>COUNTIF(Tabla1[Pedido],Productos_frec_tabla[[#This Row],[Productoos]])</f>
        <v>0</v>
      </c>
      <c r="D272" s="67" t="str">
        <f>PROPER(Productos_frec_tabla[[#This Row],[Productoos]])</f>
        <v>Paq. Vasos Chicos</v>
      </c>
      <c r="E272" s="67" t="str">
        <f>PROPER(Productos_frec_tabla[[#This Row],[Productoos]])</f>
        <v>Paq. Vasos Chicos</v>
      </c>
      <c r="F272" s="67">
        <f>COUNTIF(Productos_frec_tabla[Columna1],Productos_frec_tabla[[#This Row],[Columna12]])</f>
        <v>1</v>
      </c>
      <c r="Y272" t="str">
        <v>tortilla 10$</v>
      </c>
      <c r="Z272" t="s">
        <v>430</v>
      </c>
    </row>
    <row r="273" spans="2:26" x14ac:dyDescent="0.25">
      <c r="B273" s="67" t="s">
        <v>431</v>
      </c>
      <c r="C273" s="67">
        <f>COUNTIF(Tabla1[Pedido],Productos_frec_tabla[[#This Row],[Productoos]])</f>
        <v>0</v>
      </c>
      <c r="D273" s="67" t="str">
        <f>PROPER(Productos_frec_tabla[[#This Row],[Productoos]])</f>
        <v>Paq. Vasos Desechables</v>
      </c>
      <c r="E273" s="67" t="str">
        <f>PROPER(Productos_frec_tabla[[#This Row],[Productoos]])</f>
        <v>Paq. Vasos Desechables</v>
      </c>
      <c r="F273" s="67">
        <f>COUNTIF(Productos_frec_tabla[Columna1],Productos_frec_tabla[[#This Row],[Columna12]])</f>
        <v>1</v>
      </c>
      <c r="Y273" t="str">
        <v>tostadas</v>
      </c>
      <c r="Z273" t="s">
        <v>636</v>
      </c>
    </row>
    <row r="274" spans="2:26" x14ac:dyDescent="0.25">
      <c r="B274" s="67" t="s">
        <v>663</v>
      </c>
      <c r="C274" s="67">
        <f>COUNTIF(Tabla1[Pedido],Productos_frec_tabla[[#This Row],[Productoos]])</f>
        <v>0</v>
      </c>
      <c r="D274" s="67" t="str">
        <f>PROPER(Productos_frec_tabla[[#This Row],[Productoos]])</f>
        <v>Paquete De Galletas Piruetas</v>
      </c>
      <c r="E274" s="67" t="str">
        <f>PROPER(Productos_frec_tabla[[#This Row],[Productoos]])</f>
        <v>Paquete De Galletas Piruetas</v>
      </c>
      <c r="F274" s="67">
        <f>COUNTIF(Productos_frec_tabla[Columna1],Productos_frec_tabla[[#This Row],[Columna12]])</f>
        <v>1</v>
      </c>
      <c r="Y274" t="str">
        <v>tres yogurt</v>
      </c>
      <c r="Z274" t="s">
        <v>535</v>
      </c>
    </row>
    <row r="275" spans="2:26" x14ac:dyDescent="0.25">
      <c r="B275" s="69" t="s">
        <v>621</v>
      </c>
      <c r="C275" s="67">
        <f>COUNTIF(Tabla1[Pedido],Productos_frec_tabla[[#This Row],[Productoos]])</f>
        <v>0</v>
      </c>
      <c r="D275" s="67" t="str">
        <f>PROPER(Productos_frec_tabla[[#This Row],[Productoos]])</f>
        <v>Paquete De Pañales J</v>
      </c>
      <c r="E275" s="67" t="str">
        <f>PROPER(Productos_frec_tabla[[#This Row],[Productoos]])</f>
        <v>Paquete De Pañales J</v>
      </c>
      <c r="F275" s="67">
        <f>COUNTIF(Productos_frec_tabla[Columna1],Productos_frec_tabla[[#This Row],[Columna12]])</f>
        <v>1</v>
      </c>
      <c r="Y275" t="str">
        <v>Verdolagas</v>
      </c>
      <c r="Z275" t="s">
        <v>437</v>
      </c>
    </row>
    <row r="276" spans="2:26" x14ac:dyDescent="0.25">
      <c r="B276" s="69" t="s">
        <v>610</v>
      </c>
      <c r="C276" s="67">
        <f>COUNTIF(Tabla1[Pedido],Productos_frec_tabla[[#This Row],[Productoos]])</f>
        <v>0</v>
      </c>
      <c r="D276" s="67" t="str">
        <f>PROPER(Productos_frec_tabla[[#This Row],[Productoos]])</f>
        <v>Pechuga Entera</v>
      </c>
      <c r="E276" s="67" t="str">
        <f>PROPER(Productos_frec_tabla[[#This Row],[Productoos]])</f>
        <v>Pechuga Entera</v>
      </c>
      <c r="F276" s="67">
        <f>COUNTIF(Productos_frec_tabla[Columna1],Productos_frec_tabla[[#This Row],[Columna12]])</f>
        <v>1</v>
      </c>
      <c r="Y276" t="str">
        <v>Victoria 2pzs</v>
      </c>
      <c r="Z276" t="s">
        <v>719</v>
      </c>
    </row>
    <row r="277" spans="2:26" x14ac:dyDescent="0.25">
      <c r="B277" s="69" t="s">
        <v>554</v>
      </c>
      <c r="C277" s="67">
        <f>COUNTIF(Tabla1[Pedido],Productos_frec_tabla[[#This Row],[Productoos]])</f>
        <v>0</v>
      </c>
      <c r="D277" s="67" t="str">
        <f>PROPER(Productos_frec_tabla[[#This Row],[Productoos]])</f>
        <v>Pedido De Farmacia Gjr</v>
      </c>
      <c r="E277" s="67" t="str">
        <f>PROPER(Productos_frec_tabla[[#This Row],[Productoos]])</f>
        <v>Pedido De Farmacia Gjr</v>
      </c>
      <c r="F277" s="67">
        <f>COUNTIF(Productos_frec_tabla[Columna1],Productos_frec_tabla[[#This Row],[Columna12]])</f>
        <v>1</v>
      </c>
    </row>
    <row r="278" spans="2:26" x14ac:dyDescent="0.25">
      <c r="B278" s="67" t="s">
        <v>652</v>
      </c>
      <c r="C278" s="67">
        <f>COUNTIF(Tabla1[Pedido],Productos_frec_tabla[[#This Row],[Productoos]])</f>
        <v>0</v>
      </c>
      <c r="D278" s="67" t="str">
        <f>PROPER(Productos_frec_tabla[[#This Row],[Productoos]])</f>
        <v>Peñafiel Soft De Frutos Rojos</v>
      </c>
      <c r="E278" s="67" t="str">
        <f>PROPER(Productos_frec_tabla[[#This Row],[Productoos]])</f>
        <v>Peñafiel Soft De Frutos Rojos</v>
      </c>
      <c r="F278" s="67">
        <f>COUNTIF(Productos_frec_tabla[Columna1],Productos_frec_tabla[[#This Row],[Columna12]])</f>
        <v>1</v>
      </c>
    </row>
    <row r="279" spans="2:26" x14ac:dyDescent="0.25">
      <c r="B279" s="69" t="s">
        <v>112</v>
      </c>
      <c r="C279" s="67">
        <f>COUNTIF(Tabla1[Pedido],Productos_frec_tabla[[#This Row],[Productoos]])</f>
        <v>1</v>
      </c>
      <c r="D279" s="67" t="str">
        <f>PROPER(Productos_frec_tabla[[#This Row],[Productoos]])</f>
        <v>Plastico Para Envolver</v>
      </c>
      <c r="E279" s="67" t="str">
        <f>PROPER(Productos_frec_tabla[[#This Row],[Productoos]])</f>
        <v>Plastico Para Envolver</v>
      </c>
      <c r="F279" s="67">
        <f>COUNTIF(Productos_frec_tabla[Columna1],Productos_frec_tabla[[#This Row],[Columna12]])</f>
        <v>1</v>
      </c>
    </row>
    <row r="280" spans="2:26" x14ac:dyDescent="0.25">
      <c r="B280" s="69" t="s">
        <v>561</v>
      </c>
      <c r="C280" s="67">
        <f>COUNTIF(Tabla1[Pedido],Productos_frec_tabla[[#This Row],[Productoos]])</f>
        <v>0</v>
      </c>
      <c r="D280" s="67" t="str">
        <f>PROPER(Productos_frec_tabla[[#This Row],[Productoos]])</f>
        <v>Pollo</v>
      </c>
      <c r="E280" s="67" t="str">
        <f>PROPER(Productos_frec_tabla[[#This Row],[Productoos]])</f>
        <v>Pollo</v>
      </c>
      <c r="F280" s="67">
        <f>COUNTIF(Productos_frec_tabla[Columna1],Productos_frec_tabla[[#This Row],[Columna12]])</f>
        <v>1</v>
      </c>
    </row>
    <row r="281" spans="2:26" x14ac:dyDescent="0.25">
      <c r="B281" s="69" t="s">
        <v>620</v>
      </c>
      <c r="C281" s="67">
        <f>COUNTIF(Tabla1[Pedido],Productos_frec_tabla[[#This Row],[Productoos]])</f>
        <v>0</v>
      </c>
      <c r="D281" s="67" t="str">
        <f>PROPER(Productos_frec_tabla[[#This Row],[Productoos]])</f>
        <v>Pollo Adobado</v>
      </c>
      <c r="E281" s="67" t="str">
        <f>PROPER(Productos_frec_tabla[[#This Row],[Productoos]])</f>
        <v>Pollo Adobado</v>
      </c>
      <c r="F281" s="67">
        <f>COUNTIF(Productos_frec_tabla[Columna1],Productos_frec_tabla[[#This Row],[Columna12]])</f>
        <v>1</v>
      </c>
    </row>
    <row r="282" spans="2:26" x14ac:dyDescent="0.25">
      <c r="B282" s="67" t="s">
        <v>444</v>
      </c>
      <c r="C282" s="67">
        <f>COUNTIF(Tabla1[Pedido],Productos_frec_tabla[[#This Row],[Productoos]])</f>
        <v>0</v>
      </c>
      <c r="D282" s="67" t="str">
        <f>PROPER(Productos_frec_tabla[[#This Row],[Productoos]])</f>
        <v>Pozole Grande</v>
      </c>
      <c r="E282" s="67" t="str">
        <f>PROPER(Productos_frec_tabla[[#This Row],[Productoos]])</f>
        <v>Pozole Grande</v>
      </c>
      <c r="F282" s="67">
        <f>COUNTIF(Productos_frec_tabla[Columna1],Productos_frec_tabla[[#This Row],[Columna12]])</f>
        <v>1</v>
      </c>
    </row>
    <row r="283" spans="2:26" x14ac:dyDescent="0.25">
      <c r="B283" s="67" t="s">
        <v>447</v>
      </c>
      <c r="C283" s="67">
        <f>COUNTIF(Tabla1[Pedido],Productos_frec_tabla[[#This Row],[Productoos]])</f>
        <v>0</v>
      </c>
      <c r="D283" s="67" t="str">
        <f>PROPER(Productos_frec_tabla[[#This Row],[Productoos]])</f>
        <v>Queso Manchego</v>
      </c>
      <c r="E283" s="67" t="str">
        <f>PROPER(Productos_frec_tabla[[#This Row],[Productoos]])</f>
        <v>Queso Manchego</v>
      </c>
      <c r="F283" s="67">
        <f>COUNTIF(Productos_frec_tabla[Columna1],Productos_frec_tabla[[#This Row],[Columna12]])</f>
        <v>1</v>
      </c>
    </row>
    <row r="284" spans="2:26" x14ac:dyDescent="0.25">
      <c r="B284" s="67" t="s">
        <v>774</v>
      </c>
      <c r="C284" s="67">
        <f>COUNTIF(Tabla1[Pedido],Productos_frec_tabla[[#This Row],[Productoos]])</f>
        <v>0</v>
      </c>
      <c r="D284" s="67" t="str">
        <f>PROPER(Productos_frec_tabla[[#This Row],[Productoos]])</f>
        <v>Rancheritos</v>
      </c>
      <c r="E284" s="67" t="str">
        <f>PROPER(Productos_frec_tabla[[#This Row],[Productoos]])</f>
        <v>Rancheritos</v>
      </c>
      <c r="F284" s="67">
        <f>COUNTIF(Productos_frec_tabla[Columna1],Productos_frec_tabla[[#This Row],[Columna12]])</f>
        <v>1</v>
      </c>
    </row>
    <row r="285" spans="2:26" x14ac:dyDescent="0.25">
      <c r="B285" s="69" t="s">
        <v>303</v>
      </c>
      <c r="C285" s="67">
        <f>COUNTIF(Tabla1[Pedido],Productos_frec_tabla[[#This Row],[Productoos]])</f>
        <v>1</v>
      </c>
      <c r="D285" s="67" t="str">
        <f>PROPER(Productos_frec_tabla[[#This Row],[Productoos]])</f>
        <v>Recoger Pedido</v>
      </c>
      <c r="E285" s="67" t="str">
        <f>PROPER(Productos_frec_tabla[[#This Row],[Productoos]])</f>
        <v>Recoger Pedido</v>
      </c>
      <c r="F285" s="67">
        <f>COUNTIF(Productos_frec_tabla[Columna1],Productos_frec_tabla[[#This Row],[Columna12]])</f>
        <v>1</v>
      </c>
    </row>
    <row r="286" spans="2:26" x14ac:dyDescent="0.25">
      <c r="B286" s="67" t="s">
        <v>448</v>
      </c>
      <c r="C286" s="67">
        <f>COUNTIF(Tabla1[Pedido],Productos_frec_tabla[[#This Row],[Productoos]])</f>
        <v>0</v>
      </c>
      <c r="D286" s="67" t="str">
        <f>PROPER(Productos_frec_tabla[[#This Row],[Productoos]])</f>
        <v>Redbull</v>
      </c>
      <c r="E286" s="67" t="str">
        <f>PROPER(Productos_frec_tabla[[#This Row],[Productoos]])</f>
        <v>Redbull</v>
      </c>
      <c r="F286" s="67">
        <f>COUNTIF(Productos_frec_tabla[Columna1],Productos_frec_tabla[[#This Row],[Columna12]])</f>
        <v>1</v>
      </c>
    </row>
    <row r="287" spans="2:26" x14ac:dyDescent="0.25">
      <c r="B287" s="69" t="s">
        <v>619</v>
      </c>
      <c r="C287" s="67">
        <f>COUNTIF(Tabla1[Pedido],Productos_frec_tabla[[#This Row],[Productoos]])</f>
        <v>0</v>
      </c>
      <c r="D287" s="67" t="str">
        <f>PROPER(Productos_frec_tabla[[#This Row],[Productoos]])</f>
        <v>Refresco Senzao</v>
      </c>
      <c r="E287" s="67" t="str">
        <f>PROPER(Productos_frec_tabla[[#This Row],[Productoos]])</f>
        <v>Refresco Senzao</v>
      </c>
      <c r="F287" s="67">
        <f>COUNTIF(Productos_frec_tabla[Columna1],Productos_frec_tabla[[#This Row],[Columna12]])</f>
        <v>1</v>
      </c>
    </row>
    <row r="288" spans="2:26" x14ac:dyDescent="0.25">
      <c r="B288" s="67" t="s">
        <v>665</v>
      </c>
      <c r="C288" s="67">
        <f>COUNTIF(Tabla1[Pedido],Productos_frec_tabla[[#This Row],[Productoos]])</f>
        <v>0</v>
      </c>
      <c r="D288" s="67" t="str">
        <f>PROPER(Productos_frec_tabla[[#This Row],[Productoos]])</f>
        <v>Roles Individuales De Canela</v>
      </c>
      <c r="E288" s="67" t="str">
        <f>PROPER(Productos_frec_tabla[[#This Row],[Productoos]])</f>
        <v>Roles Individuales De Canela</v>
      </c>
      <c r="F288" s="67">
        <f>COUNTIF(Productos_frec_tabla[Columna1],Productos_frec_tabla[[#This Row],[Columna12]])</f>
        <v>1</v>
      </c>
    </row>
    <row r="289" spans="2:6" x14ac:dyDescent="0.25">
      <c r="B289" s="67" t="s">
        <v>715</v>
      </c>
      <c r="C289" s="67">
        <f>COUNTIF(Tabla1[Pedido],Productos_frec_tabla[[#This Row],[Productoos]])</f>
        <v>0</v>
      </c>
      <c r="D289" s="67" t="str">
        <f>PROPER(Productos_frec_tabla[[#This Row],[Productoos]])</f>
        <v>Rollo De Papel Yakul</v>
      </c>
      <c r="E289" s="67" t="str">
        <f>PROPER(Productos_frec_tabla[[#This Row],[Productoos]])</f>
        <v>Rollo De Papel Yakul</v>
      </c>
      <c r="F289" s="67">
        <f>COUNTIF(Productos_frec_tabla[Columna1],Productos_frec_tabla[[#This Row],[Columna12]])</f>
        <v>1</v>
      </c>
    </row>
    <row r="290" spans="2:6" x14ac:dyDescent="0.25">
      <c r="B290" s="69" t="s">
        <v>617</v>
      </c>
      <c r="C290" s="67">
        <f>COUNTIF(Tabla1[Pedido],Productos_frec_tabla[[#This Row],[Productoos]])</f>
        <v>0</v>
      </c>
      <c r="D290" s="67" t="str">
        <f>PROPER(Productos_frec_tabla[[#This Row],[Productoos]])</f>
        <v>Rufles Queso Grandes</v>
      </c>
      <c r="E290" s="67" t="str">
        <f>PROPER(Productos_frec_tabla[[#This Row],[Productoos]])</f>
        <v>Rufles Queso Grandes</v>
      </c>
      <c r="F290" s="67">
        <f>COUNTIF(Productos_frec_tabla[Columna1],Productos_frec_tabla[[#This Row],[Columna12]])</f>
        <v>1</v>
      </c>
    </row>
    <row r="291" spans="2:6" x14ac:dyDescent="0.25">
      <c r="B291" s="69" t="s">
        <v>414</v>
      </c>
      <c r="C291" s="67">
        <f>COUNTIF(Tabla1[Pedido],Productos_frec_tabla[[#This Row],[Productoos]])</f>
        <v>1</v>
      </c>
      <c r="D291" s="67" t="str">
        <f>PROPER(Productos_frec_tabla[[#This Row],[Productoos]])</f>
        <v>Sabritas Moradas</v>
      </c>
      <c r="E291" s="67" t="str">
        <f>PROPER(Productos_frec_tabla[[#This Row],[Productoos]])</f>
        <v>Sabritas Moradas</v>
      </c>
      <c r="F291" s="67">
        <f>COUNTIF(Productos_frec_tabla[Columna1],Productos_frec_tabla[[#This Row],[Columna12]])</f>
        <v>1</v>
      </c>
    </row>
    <row r="292" spans="2:6" x14ac:dyDescent="0.25">
      <c r="B292" s="67" t="s">
        <v>439</v>
      </c>
      <c r="C292" s="67">
        <f>COUNTIF(Tabla1[Pedido],Productos_frec_tabla[[#This Row],[Productoos]])</f>
        <v>0</v>
      </c>
      <c r="D292" s="67" t="str">
        <f>PROPER(Productos_frec_tabla[[#This Row],[Productoos]])</f>
        <v>Sandwich</v>
      </c>
      <c r="E292" s="67" t="str">
        <f>PROPER(Productos_frec_tabla[[#This Row],[Productoos]])</f>
        <v>Sandwich</v>
      </c>
      <c r="F292" s="67">
        <f>COUNTIF(Productos_frec_tabla[Columna1],Productos_frec_tabla[[#This Row],[Columna12]])</f>
        <v>1</v>
      </c>
    </row>
    <row r="293" spans="2:6" x14ac:dyDescent="0.25">
      <c r="B293" s="67" t="s">
        <v>667</v>
      </c>
      <c r="C293" s="67">
        <f>COUNTIF(Tabla1[Pedido],Productos_frec_tabla[[#This Row],[Productoos]])</f>
        <v>0</v>
      </c>
      <c r="D293" s="67" t="str">
        <f>PROPER(Productos_frec_tabla[[#This Row],[Productoos]])</f>
        <v>Servicio De Tintoreria</v>
      </c>
      <c r="E293" s="67" t="str">
        <f>PROPER(Productos_frec_tabla[[#This Row],[Productoos]])</f>
        <v>Servicio De Tintoreria</v>
      </c>
      <c r="F293" s="67">
        <f>COUNTIF(Productos_frec_tabla[Columna1],Productos_frec_tabla[[#This Row],[Columna12]])</f>
        <v>1</v>
      </c>
    </row>
    <row r="294" spans="2:6" x14ac:dyDescent="0.25">
      <c r="B294" s="67" t="s">
        <v>772</v>
      </c>
      <c r="C294" s="67">
        <f>COUNTIF(Tabla1[Pedido],Productos_frec_tabla[[#This Row],[Productoos]])</f>
        <v>0</v>
      </c>
      <c r="D294" s="67" t="str">
        <f>PROPER(Productos_frec_tabla[[#This Row],[Productoos]])</f>
        <v>Suerox De Uva</v>
      </c>
      <c r="E294" s="67" t="str">
        <f>PROPER(Productos_frec_tabla[[#This Row],[Productoos]])</f>
        <v>Suerox De Uva</v>
      </c>
      <c r="F294" s="67">
        <f>COUNTIF(Productos_frec_tabla[Columna1],Productos_frec_tabla[[#This Row],[Columna12]])</f>
        <v>1</v>
      </c>
    </row>
    <row r="295" spans="2:6" x14ac:dyDescent="0.25">
      <c r="B295" s="69" t="s">
        <v>953</v>
      </c>
      <c r="C295" s="67">
        <f>COUNTIF(Tabla1[Pedido],Productos_frec_tabla[[#This Row],[Productoos]])</f>
        <v>0</v>
      </c>
      <c r="D295" s="67" t="str">
        <f>PROPER(Productos_frec_tabla[[#This Row],[Productoos]])</f>
        <v>1/2 Barra De Queso Doble Crema Chinchota</v>
      </c>
      <c r="E295" s="67" t="str">
        <f>PROPER(Productos_frec_tabla[[#This Row],[Productoos]])</f>
        <v>1/2 Barra De Queso Doble Crema Chinchota</v>
      </c>
      <c r="F295" s="67">
        <f>COUNTIF(Productos_frec_tabla[Columna1],Productos_frec_tabla[[#This Row],[Columna12]])</f>
        <v>1</v>
      </c>
    </row>
    <row r="296" spans="2:6" x14ac:dyDescent="0.25">
      <c r="B296" s="67" t="s">
        <v>767</v>
      </c>
      <c r="C296" s="67">
        <f>COUNTIF(Tabla1[Pedido],Productos_frec_tabla[[#This Row],[Productoos]])</f>
        <v>0</v>
      </c>
      <c r="D296" s="67" t="str">
        <f>PROPER(Productos_frec_tabla[[#This Row],[Productoos]])</f>
        <v>Topo Chico</v>
      </c>
      <c r="E296" s="67" t="str">
        <f>PROPER(Productos_frec_tabla[[#This Row],[Productoos]])</f>
        <v>Topo Chico</v>
      </c>
      <c r="F296" s="67">
        <f>COUNTIF(Productos_frec_tabla[Columna1],Productos_frec_tabla[[#This Row],[Columna12]])</f>
        <v>1</v>
      </c>
    </row>
    <row r="297" spans="2:6" x14ac:dyDescent="0.25">
      <c r="B297" s="67" t="s">
        <v>430</v>
      </c>
      <c r="C297" s="67">
        <f>COUNTIF(Tabla1[Pedido],Productos_frec_tabla[[#This Row],[Productoos]])</f>
        <v>0</v>
      </c>
      <c r="D297" s="67" t="str">
        <f>PROPER(Productos_frec_tabla[[#This Row],[Productoos]])</f>
        <v>Tortilla 10$</v>
      </c>
      <c r="E297" s="67" t="str">
        <f>PROPER(Productos_frec_tabla[[#This Row],[Productoos]])</f>
        <v>Tortilla 10$</v>
      </c>
      <c r="F297" s="67">
        <f>COUNTIF(Productos_frec_tabla[Columna1],Productos_frec_tabla[[#This Row],[Columna12]])</f>
        <v>1</v>
      </c>
    </row>
    <row r="298" spans="2:6" x14ac:dyDescent="0.25">
      <c r="B298" s="67" t="s">
        <v>636</v>
      </c>
      <c r="C298" s="67">
        <f>COUNTIF(Tabla1[Pedido],Productos_frec_tabla[[#This Row],[Productoos]])</f>
        <v>0</v>
      </c>
      <c r="D298" s="67" t="str">
        <f>PROPER(Productos_frec_tabla[[#This Row],[Productoos]])</f>
        <v>Tostadas</v>
      </c>
      <c r="E298" s="67" t="str">
        <f>PROPER(Productos_frec_tabla[[#This Row],[Productoos]])</f>
        <v>Tostadas</v>
      </c>
      <c r="F298" s="67">
        <f>COUNTIF(Productos_frec_tabla[Columna1],Productos_frec_tabla[[#This Row],[Columna12]])</f>
        <v>1</v>
      </c>
    </row>
    <row r="299" spans="2:6" x14ac:dyDescent="0.25">
      <c r="B299" s="67" t="s">
        <v>535</v>
      </c>
      <c r="C299" s="67">
        <f>COUNTIF(Tabla1[Pedido],Productos_frec_tabla[[#This Row],[Productoos]])</f>
        <v>0</v>
      </c>
      <c r="D299" s="67" t="str">
        <f>PROPER(Productos_frec_tabla[[#This Row],[Productoos]])</f>
        <v>Tres Yogurt</v>
      </c>
      <c r="E299" s="67" t="str">
        <f>PROPER(Productos_frec_tabla[[#This Row],[Productoos]])</f>
        <v>Tres Yogurt</v>
      </c>
      <c r="F299" s="67">
        <f>COUNTIF(Productos_frec_tabla[Columna1],Productos_frec_tabla[[#This Row],[Columna12]])</f>
        <v>1</v>
      </c>
    </row>
    <row r="300" spans="2:6" x14ac:dyDescent="0.25">
      <c r="B300" s="67" t="s">
        <v>437</v>
      </c>
      <c r="C300" s="67">
        <f>COUNTIF(Tabla1[Pedido],Productos_frec_tabla[[#This Row],[Productoos]])</f>
        <v>0</v>
      </c>
      <c r="D300" s="67" t="str">
        <f>PROPER(Productos_frec_tabla[[#This Row],[Productoos]])</f>
        <v>Verdolagas</v>
      </c>
      <c r="E300" s="67" t="str">
        <f>PROPER(Productos_frec_tabla[[#This Row],[Productoos]])</f>
        <v>Verdolagas</v>
      </c>
      <c r="F300" s="67">
        <f>COUNTIF(Productos_frec_tabla[Columna1],Productos_frec_tabla[[#This Row],[Columna12]])</f>
        <v>1</v>
      </c>
    </row>
    <row r="301" spans="2:6" x14ac:dyDescent="0.25">
      <c r="B301" s="67" t="s">
        <v>719</v>
      </c>
      <c r="C301" s="67">
        <f>COUNTIF(Tabla1[Pedido],Productos_frec_tabla[[#This Row],[Productoos]])</f>
        <v>0</v>
      </c>
      <c r="D301" s="67" t="str">
        <f>PROPER(Productos_frec_tabla[[#This Row],[Productoos]])</f>
        <v>Victoria 2Pzs</v>
      </c>
      <c r="E301" s="67" t="str">
        <f>PROPER(Productos_frec_tabla[[#This Row],[Productoos]])</f>
        <v>Victoria 2Pzs</v>
      </c>
      <c r="F301" s="67">
        <f>COUNTIF(Productos_frec_tabla[Columna1],Productos_frec_tabla[[#This Row],[Columna12]])</f>
        <v>1</v>
      </c>
    </row>
  </sheetData>
  <phoneticPr fontId="9" type="noConversion"/>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4813E-DD9C-4A91-B196-337292723863}">
  <sheetPr codeName="Hoja3"/>
  <dimension ref="B1:G42"/>
  <sheetViews>
    <sheetView workbookViewId="0">
      <selection activeCell="C9" sqref="C9"/>
    </sheetView>
  </sheetViews>
  <sheetFormatPr baseColWidth="10" defaultRowHeight="15" x14ac:dyDescent="0.25"/>
  <cols>
    <col min="2" max="2" width="25.42578125" customWidth="1"/>
    <col min="3" max="3" width="20.28515625" bestFit="1" customWidth="1"/>
    <col min="4" max="4" width="16.42578125" customWidth="1"/>
    <col min="6" max="6" width="26.42578125" customWidth="1"/>
  </cols>
  <sheetData>
    <row r="1" spans="2:7" x14ac:dyDescent="0.25">
      <c r="C1">
        <f>SUM(Proveedores_tabla[Frecuencia])</f>
        <v>335</v>
      </c>
    </row>
    <row r="2" spans="2:7" x14ac:dyDescent="0.25">
      <c r="B2" t="s">
        <v>208</v>
      </c>
      <c r="C2" t="s">
        <v>783</v>
      </c>
      <c r="D2" t="s">
        <v>1126</v>
      </c>
      <c r="F2" t="s">
        <v>1278</v>
      </c>
      <c r="G2" t="s">
        <v>1280</v>
      </c>
    </row>
    <row r="3" spans="2:7" ht="30" x14ac:dyDescent="0.25">
      <c r="B3" s="51" t="s">
        <v>327</v>
      </c>
      <c r="C3" s="79" cm="1">
        <f t="array" ref="C3">SUM(--ISNUMBER(SEARCH(Proveedores_tabla[[#This Row],[Nombre]],Tabla9[Locales])))</f>
        <v>161</v>
      </c>
      <c r="D3" s="113" t="s">
        <v>1397</v>
      </c>
      <c r="F3" s="73" t="s">
        <v>1279</v>
      </c>
      <c r="G3" t="s">
        <v>1281</v>
      </c>
    </row>
    <row r="4" spans="2:7" x14ac:dyDescent="0.25">
      <c r="B4" s="51" t="s">
        <v>1049</v>
      </c>
      <c r="C4" s="79" cm="1">
        <f t="array" ref="C4">SUM(--ISNUMBER(SEARCH(Proveedores_tabla[[#This Row],[Nombre]],Tabla9[Locales])))</f>
        <v>17</v>
      </c>
      <c r="D4" s="113" cm="1">
        <f t="array" ref="D4">SumarPreciosRango('Base Pedidito'!G$105:G$205,Proveedores_tabla[[#This Row],[Nombre]])</f>
        <v>1788</v>
      </c>
      <c r="F4" t="s">
        <v>1282</v>
      </c>
    </row>
    <row r="5" spans="2:7" x14ac:dyDescent="0.25">
      <c r="B5" s="51" t="s">
        <v>207</v>
      </c>
      <c r="C5" s="79" cm="1">
        <f t="array" ref="C5">SUM(--ISNUMBER(SEARCH(Proveedores_tabla[[#This Row],[Nombre]],Tabla9[Locales])))</f>
        <v>30</v>
      </c>
      <c r="D5" s="113" cm="1">
        <f t="array" ref="D5">SumarPreciosRango('Base Pedidito'!G$105:G$205,Proveedores_tabla[[#This Row],[Nombre]])</f>
        <v>1742</v>
      </c>
    </row>
    <row r="6" spans="2:7" x14ac:dyDescent="0.25">
      <c r="B6" s="51" t="s">
        <v>392</v>
      </c>
      <c r="C6" s="79" cm="1">
        <f t="array" ref="C6">SUM(--ISNUMBER(SEARCH(Proveedores_tabla[[#This Row],[Nombre]],Tabla9[Locales])))</f>
        <v>13</v>
      </c>
      <c r="D6" s="113" cm="1">
        <f t="array" ref="D6">SumarPreciosRango('Base Pedidito'!G$105:G$205,Proveedores_tabla[[#This Row],[Nombre]])</f>
        <v>634</v>
      </c>
    </row>
    <row r="7" spans="2:7" x14ac:dyDescent="0.25">
      <c r="B7" s="51" t="s">
        <v>1355</v>
      </c>
      <c r="C7" s="79" cm="1">
        <f t="array" ref="C7">SUM(--ISNUMBER(SEARCH(Proveedores_tabla[[#This Row],[Nombre]],Tabla9[Locales])))</f>
        <v>1</v>
      </c>
      <c r="D7" s="113" cm="1">
        <f t="array" ref="D7">SumarPreciosRango('Base Pedidito'!G$105:G$205,Proveedores_tabla[[#This Row],[Nombre]])</f>
        <v>513</v>
      </c>
    </row>
    <row r="8" spans="2:7" x14ac:dyDescent="0.25">
      <c r="B8" s="51" t="s">
        <v>325</v>
      </c>
      <c r="C8" s="79" cm="1">
        <f t="array" ref="C8">SUM(--ISNUMBER(SEARCH(Proveedores_tabla[[#This Row],[Nombre]],Tabla9[Locales])))</f>
        <v>14</v>
      </c>
      <c r="D8" s="113" cm="1">
        <f t="array" ref="D8">SumarPreciosRango('Base Pedidito'!G$105:G$205,Proveedores_tabla[[#This Row],[Nombre]])</f>
        <v>510</v>
      </c>
    </row>
    <row r="9" spans="2:7" x14ac:dyDescent="0.25">
      <c r="B9" s="51" t="s">
        <v>325</v>
      </c>
      <c r="C9" s="79" cm="1">
        <f t="array" ref="C9">SUM(--ISNUMBER(SEARCH(Proveedores_tabla[[#This Row],[Nombre]],Tabla9[Locales])))</f>
        <v>14</v>
      </c>
      <c r="D9" s="113" cm="1">
        <f t="array" ref="D9">SumarPreciosRango('Base Pedidito'!G$105:G$205,Proveedores_tabla[[#This Row],[Nombre]])</f>
        <v>510</v>
      </c>
    </row>
    <row r="10" spans="2:7" x14ac:dyDescent="0.25">
      <c r="B10" s="51" t="s">
        <v>255</v>
      </c>
      <c r="C10" s="79" cm="1">
        <f t="array" ref="C10">SUM(--ISNUMBER(SEARCH(Proveedores_tabla[[#This Row],[Nombre]],Tabla9[Locales])))</f>
        <v>6</v>
      </c>
      <c r="D10" s="113" cm="1">
        <f t="array" ref="D10">SumarPreciosRango('Base Pedidito'!G$105:G$205,Proveedores_tabla[[#This Row],[Nombre]])</f>
        <v>289</v>
      </c>
    </row>
    <row r="11" spans="2:7" x14ac:dyDescent="0.25">
      <c r="B11" s="51" t="s">
        <v>1174</v>
      </c>
      <c r="C11" s="79" cm="1">
        <f t="array" ref="C11">SUM(--ISNUMBER(SEARCH(Proveedores_tabla[[#This Row],[Nombre]],Tabla9[Locales])))</f>
        <v>5</v>
      </c>
      <c r="D11" s="113" cm="1">
        <f t="array" ref="D11">SumarPreciosRango('Base Pedidito'!G$105:G$205,Proveedores_tabla[[#This Row],[Nombre]])</f>
        <v>275</v>
      </c>
    </row>
    <row r="12" spans="2:7" x14ac:dyDescent="0.25">
      <c r="B12" s="51" t="s">
        <v>1219</v>
      </c>
      <c r="C12" s="79" cm="1">
        <f t="array" ref="C12">SUM(--ISNUMBER(SEARCH(Proveedores_tabla[[#This Row],[Nombre]],Tabla9[Locales])))</f>
        <v>2</v>
      </c>
      <c r="D12" s="113" cm="1">
        <f t="array" ref="D12">SumarPreciosRango('Base Pedidito'!G$105:G$205,Proveedores_tabla[[#This Row],[Nombre]])</f>
        <v>238</v>
      </c>
    </row>
    <row r="13" spans="2:7" x14ac:dyDescent="0.25">
      <c r="B13" s="51" t="s">
        <v>328</v>
      </c>
      <c r="C13" s="79" cm="1">
        <f t="array" ref="C13">SUM(--ISNUMBER(SEARCH(Proveedores_tabla[[#This Row],[Nombre]],Tabla9[Locales])))</f>
        <v>5</v>
      </c>
      <c r="D13" s="113" cm="1">
        <f t="array" ref="D13">SumarPreciosRango('Base Pedidito'!G$105:G$205,Proveedores_tabla[[#This Row],[Nombre]])</f>
        <v>200</v>
      </c>
    </row>
    <row r="14" spans="2:7" x14ac:dyDescent="0.25">
      <c r="B14" s="51" t="s">
        <v>329</v>
      </c>
      <c r="C14" s="79" cm="1">
        <f t="array" ref="C14">SUM(--ISNUMBER(SEARCH(Proveedores_tabla[[#This Row],[Nombre]],Tabla9[Locales])))</f>
        <v>3</v>
      </c>
      <c r="D14" s="113" cm="1">
        <f t="array" ref="D14">SumarPreciosRango('Base Pedidito'!G$105:G$205,Proveedores_tabla[[#This Row],[Nombre]])</f>
        <v>190</v>
      </c>
    </row>
    <row r="15" spans="2:7" x14ac:dyDescent="0.25">
      <c r="B15" s="51" t="s">
        <v>330</v>
      </c>
      <c r="C15" s="79" cm="1">
        <f t="array" ref="C15">SUM(--ISNUMBER(SEARCH(Proveedores_tabla[[#This Row],[Nombre]],Tabla9[Locales])))</f>
        <v>5</v>
      </c>
      <c r="D15" s="113" cm="1">
        <f t="array" ref="D15">SumarPreciosRango('Base Pedidito'!G$105:G$205,Proveedores_tabla[[#This Row],[Nombre]])</f>
        <v>175</v>
      </c>
    </row>
    <row r="16" spans="2:7" x14ac:dyDescent="0.25">
      <c r="B16" s="51" t="s">
        <v>323</v>
      </c>
      <c r="C16" s="79" cm="1">
        <f t="array" ref="C16">SUM(--ISNUMBER(SEARCH(Proveedores_tabla[[#This Row],[Nombre]],Tabla9[Locales])))</f>
        <v>12</v>
      </c>
      <c r="D16" s="113" cm="1">
        <f t="array" ref="D16">SumarPreciosRango('Base Pedidito'!G$105:G$205,Proveedores_tabla[[#This Row],[Nombre]])</f>
        <v>155</v>
      </c>
    </row>
    <row r="17" spans="2:4" x14ac:dyDescent="0.25">
      <c r="B17" s="51" t="s">
        <v>1338</v>
      </c>
      <c r="C17" s="79" cm="1">
        <f t="array" ref="C17">SUM(--ISNUMBER(SEARCH(Proveedores_tabla[[#This Row],[Nombre]],Tabla9[Locales])))</f>
        <v>11</v>
      </c>
      <c r="D17" s="113" cm="1">
        <f t="array" ref="D17">SumarPreciosRango('Base Pedidito'!G$105:G$205,Proveedores_tabla[[#This Row],[Nombre]])</f>
        <v>112</v>
      </c>
    </row>
    <row r="18" spans="2:4" x14ac:dyDescent="0.25">
      <c r="B18" s="51" t="s">
        <v>331</v>
      </c>
      <c r="C18" s="79" cm="1">
        <f t="array" ref="C18">SUM(--ISNUMBER(SEARCH(Proveedores_tabla[[#This Row],[Nombre]],Tabla9[Locales])))</f>
        <v>4</v>
      </c>
      <c r="D18" s="113" cm="1">
        <f t="array" ref="D18">SumarPreciosRango('Base Pedidito'!G$105:G$205,Proveedores_tabla[[#This Row],[Nombre]])</f>
        <v>106</v>
      </c>
    </row>
    <row r="19" spans="2:4" x14ac:dyDescent="0.25">
      <c r="B19" s="51" t="s">
        <v>1370</v>
      </c>
      <c r="C19" s="79" cm="1">
        <f t="array" ref="C19">SUM(--ISNUMBER(SEARCH(Proveedores_tabla[[#This Row],[Nombre]],Tabla9[Locales])))</f>
        <v>2</v>
      </c>
      <c r="D19" s="113" cm="1">
        <f t="array" ref="D19">SumarPreciosRango('Base Pedidito'!G$105:G$205,Proveedores_tabla[[#This Row],[Nombre]])</f>
        <v>95</v>
      </c>
    </row>
    <row r="20" spans="2:4" x14ac:dyDescent="0.25">
      <c r="B20" s="51" t="s">
        <v>1166</v>
      </c>
      <c r="C20" s="79" cm="1">
        <f t="array" ref="C20">SUM(--ISNUMBER(SEARCH(Proveedores_tabla[[#This Row],[Nombre]],Tabla9[Locales])))</f>
        <v>2</v>
      </c>
      <c r="D20" s="113" cm="1">
        <f t="array" ref="D20">SumarPreciosRango('Base Pedidito'!G$105:G$205,Proveedores_tabla[[#This Row],[Nombre]])</f>
        <v>82</v>
      </c>
    </row>
    <row r="21" spans="2:4" x14ac:dyDescent="0.25">
      <c r="B21" s="51" t="s">
        <v>1299</v>
      </c>
      <c r="C21" s="79" cm="1">
        <f t="array" ref="C21">SUM(--ISNUMBER(SEARCH(Proveedores_tabla[[#This Row],[Nombre]],Tabla9[Locales])))</f>
        <v>2</v>
      </c>
      <c r="D21" s="113" cm="1">
        <f t="array" ref="D21">SumarPreciosRango('Base Pedidito'!G$105:G$205,Proveedores_tabla[[#This Row],[Nombre]])</f>
        <v>25</v>
      </c>
    </row>
    <row r="22" spans="2:4" x14ac:dyDescent="0.25">
      <c r="B22" s="51" t="s">
        <v>256</v>
      </c>
      <c r="C22" s="79" cm="1">
        <f t="array" ref="C22">SUM(--ISNUMBER(SEARCH(Proveedores_tabla[[#This Row],[Nombre]],Tabla9[Locales])))</f>
        <v>3</v>
      </c>
      <c r="D22" s="113" cm="1">
        <f t="array" ref="D22">SumarPreciosRango('Base Pedidito'!G$105:G$205,Proveedores_tabla[[#This Row],[Nombre]])</f>
        <v>0</v>
      </c>
    </row>
    <row r="23" spans="2:4" x14ac:dyDescent="0.25">
      <c r="B23" s="51" t="s">
        <v>969</v>
      </c>
      <c r="C23" s="79" cm="1">
        <f t="array" ref="C23">SUM(--ISNUMBER(SEARCH(Proveedores_tabla[[#This Row],[Nombre]],Tabla9[Locales])))</f>
        <v>2</v>
      </c>
      <c r="D23" s="113" cm="1">
        <f t="array" ref="D23">SumarPreciosRango('Base Pedidito'!G$105:G$205,Proveedores_tabla[[#This Row],[Nombre]])</f>
        <v>0</v>
      </c>
    </row>
    <row r="24" spans="2:4" x14ac:dyDescent="0.25">
      <c r="B24" s="51" t="s">
        <v>963</v>
      </c>
      <c r="C24" s="79" cm="1">
        <f t="array" ref="C24">SUM(--ISNUMBER(SEARCH(Proveedores_tabla[[#This Row],[Nombre]],Tabla9[Locales])))</f>
        <v>1</v>
      </c>
      <c r="D24" s="113" cm="1">
        <f t="array" ref="D24">SumarPreciosRango('Base Pedidito'!G$105:G$205,Proveedores_tabla[[#This Row],[Nombre]])</f>
        <v>0</v>
      </c>
    </row>
    <row r="25" spans="2:4" x14ac:dyDescent="0.25">
      <c r="B25" s="51" t="s">
        <v>968</v>
      </c>
      <c r="C25" s="79" cm="1">
        <f t="array" ref="C25">SUM(--ISNUMBER(SEARCH(Proveedores_tabla[[#This Row],[Nombre]],Tabla9[Locales])))</f>
        <v>2</v>
      </c>
      <c r="D25" s="113" cm="1">
        <f t="array" ref="D25">SumarPreciosRango('Base Pedidito'!G$105:G$205,Proveedores_tabla[[#This Row],[Nombre]])</f>
        <v>0</v>
      </c>
    </row>
    <row r="26" spans="2:4" x14ac:dyDescent="0.25">
      <c r="B26" s="51" t="s">
        <v>257</v>
      </c>
      <c r="C26" s="79" cm="1">
        <f t="array" ref="C26">SUM(--ISNUMBER(SEARCH(Proveedores_tabla[[#This Row],[Nombre]],Tabla9[Locales])))</f>
        <v>1</v>
      </c>
      <c r="D26" s="113" cm="1">
        <f t="array" ref="D26">SumarPreciosRango('Base Pedidito'!G$105:G$205,Proveedores_tabla[[#This Row],[Nombre]])</f>
        <v>0</v>
      </c>
    </row>
    <row r="27" spans="2:4" x14ac:dyDescent="0.25">
      <c r="B27" s="51" t="s">
        <v>344</v>
      </c>
      <c r="C27" s="79" cm="1">
        <f t="array" ref="C27">SUM(--ISNUMBER(SEARCH(Proveedores_tabla[[#This Row],[Nombre]],Tabla9[Locales])))</f>
        <v>1</v>
      </c>
      <c r="D27" s="113" cm="1">
        <f t="array" ref="D27">SumarPreciosRango('Base Pedidito'!G$105:G$205,Proveedores_tabla[[#This Row],[Nombre]])</f>
        <v>0</v>
      </c>
    </row>
    <row r="28" spans="2:4" x14ac:dyDescent="0.25">
      <c r="B28" s="51" t="s">
        <v>324</v>
      </c>
      <c r="C28" s="79" cm="1">
        <f t="array" ref="C28">SUM(--ISNUMBER(SEARCH(Proveedores_tabla[[#This Row],[Nombre]],Tabla9[Locales])))</f>
        <v>1</v>
      </c>
      <c r="D28" s="113" cm="1">
        <f t="array" ref="D28">SumarPreciosRango('Base Pedidito'!G$105:G$205,Proveedores_tabla[[#This Row],[Nombre]])</f>
        <v>0</v>
      </c>
    </row>
    <row r="29" spans="2:4" x14ac:dyDescent="0.25">
      <c r="B29" s="51" t="s">
        <v>322</v>
      </c>
      <c r="C29" s="79" cm="1">
        <f t="array" ref="C29">SUM(--ISNUMBER(SEARCH(Proveedores_tabla[[#This Row],[Nombre]],Tabla9[Locales])))</f>
        <v>2</v>
      </c>
      <c r="D29" s="113" cm="1">
        <f t="array" ref="D29">SumarPreciosRango('Base Pedidito'!G$105:G$205,Proveedores_tabla[[#This Row],[Nombre]])</f>
        <v>0</v>
      </c>
    </row>
    <row r="30" spans="2:4" x14ac:dyDescent="0.25">
      <c r="B30" s="51" t="s">
        <v>970</v>
      </c>
      <c r="C30" s="79" cm="1">
        <f t="array" ref="C30">SUM(--ISNUMBER(SEARCH(Proveedores_tabla[[#This Row],[Nombre]],Tabla9[Locales])))</f>
        <v>1</v>
      </c>
      <c r="D30" s="113" cm="1">
        <f t="array" ref="D30">SumarPreciosRango('Base Pedidito'!G$105:G$205,Proveedores_tabla[[#This Row],[Nombre]])</f>
        <v>0</v>
      </c>
    </row>
    <row r="31" spans="2:4" x14ac:dyDescent="0.25">
      <c r="B31" s="51" t="s">
        <v>333</v>
      </c>
      <c r="C31" s="79" cm="1">
        <f t="array" ref="C31">SUM(--ISNUMBER(SEARCH(Proveedores_tabla[[#This Row],[Nombre]],Tabla9[Locales])))</f>
        <v>0</v>
      </c>
      <c r="D31" s="113" cm="1">
        <f t="array" ref="D31">SumarPreciosRango('Base Pedidito'!G$105:G$205,Proveedores_tabla[[#This Row],[Nombre]])</f>
        <v>0</v>
      </c>
    </row>
    <row r="32" spans="2:4" x14ac:dyDescent="0.25">
      <c r="B32" s="51" t="s">
        <v>334</v>
      </c>
      <c r="C32" s="79" cm="1">
        <f t="array" ref="C32">SUM(--ISNUMBER(SEARCH(Proveedores_tabla[[#This Row],[Nombre]],Tabla9[Locales])))</f>
        <v>1</v>
      </c>
      <c r="D32" s="113" cm="1">
        <f t="array" ref="D32">SumarPreciosRango('Base Pedidito'!G$105:G$205,Proveedores_tabla[[#This Row],[Nombre]])</f>
        <v>0</v>
      </c>
    </row>
    <row r="33" spans="2:4" x14ac:dyDescent="0.25">
      <c r="B33" s="51" t="s">
        <v>326</v>
      </c>
      <c r="C33" s="79" cm="1">
        <f t="array" ref="C33">SUM(--ISNUMBER(SEARCH(Proveedores_tabla[[#This Row],[Nombre]],Tabla9[Locales])))</f>
        <v>1</v>
      </c>
      <c r="D33" s="113" cm="1">
        <f t="array" ref="D33">SumarPreciosRango('Base Pedidito'!G$105:G$205,Proveedores_tabla[[#This Row],[Nombre]])</f>
        <v>0</v>
      </c>
    </row>
    <row r="34" spans="2:4" x14ac:dyDescent="0.25">
      <c r="B34" s="51" t="s">
        <v>1167</v>
      </c>
      <c r="C34" s="79" cm="1">
        <f t="array" ref="C34">SUM(--ISNUMBER(SEARCH(Proveedores_tabla[[#This Row],[Nombre]],Tabla9[Locales])))</f>
        <v>0</v>
      </c>
      <c r="D34" s="113" cm="1">
        <f t="array" ref="D34">SumarPreciosRango('Base Pedidito'!G$105:G$205,Proveedores_tabla[[#This Row],[Nombre]])</f>
        <v>0</v>
      </c>
    </row>
    <row r="35" spans="2:4" x14ac:dyDescent="0.25">
      <c r="B35" s="51" t="s">
        <v>1396</v>
      </c>
      <c r="C35" s="79" cm="1">
        <f t="array" ref="C35">SUM(--ISNUMBER(SEARCH(Proveedores_tabla[[#This Row],[Nombre]],Tabla9[Locales])))</f>
        <v>0</v>
      </c>
      <c r="D35" s="113" cm="1">
        <f t="array" ref="D35">SumarPreciosRango('Base Pedidito'!G$105:G$205,Proveedores_tabla[[#This Row],[Nombre]])</f>
        <v>0</v>
      </c>
    </row>
    <row r="36" spans="2:4" x14ac:dyDescent="0.25">
      <c r="B36" s="51" t="s">
        <v>1442</v>
      </c>
      <c r="C36" s="79" cm="1">
        <f t="array" ref="C36">SUM(--ISNUMBER(SEARCH(Proveedores_tabla[[#This Row],[Nombre]],Tabla9[Locales])))</f>
        <v>3</v>
      </c>
      <c r="D36" s="113" cm="1">
        <f t="array" ref="D36">SumarPreciosRango('Base Pedidito'!G$105:G$205,Proveedores_tabla[[#This Row],[Nombre]])</f>
        <v>0</v>
      </c>
    </row>
    <row r="37" spans="2:4" x14ac:dyDescent="0.25">
      <c r="B37" s="51" t="s">
        <v>1448</v>
      </c>
      <c r="C37" s="79" cm="1">
        <f t="array" ref="C37">SUM(--ISNUMBER(SEARCH(Proveedores_tabla[[#This Row],[Nombre]],Tabla9[Locales])))</f>
        <v>0</v>
      </c>
      <c r="D37" s="113" cm="1">
        <f t="array" ref="D37">SumarPreciosRango('Base Pedidito'!G$105:G$205,Proveedores_tabla[[#This Row],[Nombre]])</f>
        <v>0</v>
      </c>
    </row>
    <row r="38" spans="2:4" x14ac:dyDescent="0.25">
      <c r="B38" s="51" t="s">
        <v>1466</v>
      </c>
      <c r="C38" s="79" cm="1">
        <f t="array" ref="C38">SUM(--ISNUMBER(SEARCH(Proveedores_tabla[[#This Row],[Nombre]],Tabla9[Locales])))</f>
        <v>1</v>
      </c>
      <c r="D38" s="113" cm="1">
        <f t="array" ref="D38">SumarPreciosRango('Base Pedidito'!G$105:G$205,Proveedores_tabla[[#This Row],[Nombre]])</f>
        <v>0</v>
      </c>
    </row>
    <row r="39" spans="2:4" x14ac:dyDescent="0.25">
      <c r="B39" s="51" t="s">
        <v>1486</v>
      </c>
      <c r="C39" s="79" cm="1">
        <f t="array" ref="C39">SUM(--ISNUMBER(SEARCH(Proveedores_tabla[[#This Row],[Nombre]],Tabla9[Locales])))</f>
        <v>1</v>
      </c>
      <c r="D39" s="113" cm="1">
        <f t="array" ref="D39">SumarPreciosRango('Base Pedidito'!G$105:G$205,Proveedores_tabla[[#This Row],[Nombre]])</f>
        <v>0</v>
      </c>
    </row>
    <row r="40" spans="2:4" x14ac:dyDescent="0.25">
      <c r="B40" s="51" t="s">
        <v>1534</v>
      </c>
      <c r="C40" s="79" cm="1">
        <f t="array" ref="C40">SUM(--ISNUMBER(SEARCH(Proveedores_tabla[[#This Row],[Nombre]],Tabla9[Locales])))</f>
        <v>0</v>
      </c>
      <c r="D40" s="113" cm="1">
        <f t="array" ref="D40">SumarPreciosRango('Base Pedidito'!G$105:G$205,Proveedores_tabla[[#This Row],[Nombre]])</f>
        <v>0</v>
      </c>
    </row>
    <row r="41" spans="2:4" x14ac:dyDescent="0.25">
      <c r="B41" s="51" t="s">
        <v>1500</v>
      </c>
      <c r="C41" s="79" cm="1">
        <f t="array" ref="C41">SUM(--ISNUMBER(SEARCH(Proveedores_tabla[[#This Row],[Nombre]],Tabla9[Locales])))</f>
        <v>4</v>
      </c>
      <c r="D41" s="113" cm="1">
        <f t="array" ref="D41">SumarPreciosRango('Base Pedidito'!G$105:G$205,Proveedores_tabla[[#This Row],[Nombre]])</f>
        <v>0</v>
      </c>
    </row>
    <row r="42" spans="2:4" x14ac:dyDescent="0.25">
      <c r="B42" s="51" t="s">
        <v>1587</v>
      </c>
      <c r="C42" s="79" cm="1">
        <f t="array" ref="C42">SUM(--ISNUMBER(SEARCH(Proveedores_tabla[[#This Row],[Nombre]],Tabla9[Locales])))</f>
        <v>1</v>
      </c>
      <c r="D42" s="113" cm="1">
        <f t="array" ref="D42">SumarPreciosRango('Base Pedidito'!G$105:G$205,Proveedores_tabla[[#This Row],[Nombre]])</f>
        <v>0</v>
      </c>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D760E-0615-4048-A072-29E49E7D5DB5}">
  <sheetPr codeName="Hoja10"/>
  <dimension ref="C1:K6"/>
  <sheetViews>
    <sheetView workbookViewId="0">
      <selection activeCell="K7" sqref="K7"/>
    </sheetView>
  </sheetViews>
  <sheetFormatPr baseColWidth="10" defaultRowHeight="15" x14ac:dyDescent="0.25"/>
  <cols>
    <col min="3" max="3" width="36.28515625" customWidth="1"/>
    <col min="11" max="11" width="25.42578125" customWidth="1"/>
  </cols>
  <sheetData>
    <row r="1" spans="3:11" x14ac:dyDescent="0.25">
      <c r="C1" s="52" t="s">
        <v>1286</v>
      </c>
      <c r="K1" s="52" t="s">
        <v>1285</v>
      </c>
    </row>
    <row r="2" spans="3:11" x14ac:dyDescent="0.25">
      <c r="C2" s="52" t="s">
        <v>1284</v>
      </c>
      <c r="K2" s="52" t="s">
        <v>1284</v>
      </c>
    </row>
    <row r="3" spans="3:11" x14ac:dyDescent="0.25">
      <c r="C3" t="s">
        <v>1283</v>
      </c>
      <c r="K3" t="s">
        <v>1287</v>
      </c>
    </row>
    <row r="4" spans="3:11" x14ac:dyDescent="0.25">
      <c r="C4" t="s">
        <v>1289</v>
      </c>
      <c r="K4" t="s">
        <v>1288</v>
      </c>
    </row>
    <row r="5" spans="3:11" ht="57.75" customHeight="1" x14ac:dyDescent="0.25">
      <c r="C5" s="73" t="s">
        <v>1291</v>
      </c>
      <c r="K5" t="s">
        <v>1290</v>
      </c>
    </row>
    <row r="6" spans="3:11" x14ac:dyDescent="0.25">
      <c r="C6" t="s">
        <v>1292</v>
      </c>
      <c r="K6" t="s">
        <v>1293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CA2F0-5226-4780-A689-0D0748CD0C46}">
  <sheetPr codeName="Hoja6"/>
  <dimension ref="A1:AH47"/>
  <sheetViews>
    <sheetView view="pageLayout" topLeftCell="L7" zoomScale="70" zoomScaleNormal="100" zoomScalePageLayoutView="70" workbookViewId="0">
      <selection activeCell="S28" sqref="S28"/>
    </sheetView>
  </sheetViews>
  <sheetFormatPr baseColWidth="10" defaultRowHeight="15" x14ac:dyDescent="0.25"/>
  <cols>
    <col min="4" max="6" width="2.85546875" customWidth="1"/>
    <col min="7" max="7" width="3.28515625" customWidth="1"/>
    <col min="8" max="8" width="3.140625" customWidth="1"/>
    <col min="9" max="10" width="2.85546875" customWidth="1"/>
    <col min="11" max="12" width="2.7109375" customWidth="1"/>
    <col min="13" max="15" width="2.5703125" customWidth="1"/>
    <col min="16" max="16" width="2.42578125" customWidth="1"/>
    <col min="17" max="17" width="2.85546875" customWidth="1"/>
    <col min="18" max="18" width="2.7109375" customWidth="1"/>
    <col min="19" max="20" width="2.85546875" customWidth="1"/>
    <col min="21" max="21" width="15.85546875" customWidth="1"/>
    <col min="22" max="22" width="14.85546875" customWidth="1"/>
  </cols>
  <sheetData>
    <row r="1" spans="1:34" x14ac:dyDescent="0.25">
      <c r="D1" s="8"/>
      <c r="E1" s="9"/>
      <c r="F1" s="9"/>
      <c r="G1" s="9"/>
      <c r="H1" s="9"/>
      <c r="I1" s="9"/>
      <c r="J1" s="9"/>
      <c r="K1" s="9"/>
      <c r="L1" s="9"/>
      <c r="M1" s="9"/>
      <c r="N1" s="9"/>
      <c r="O1" s="9"/>
      <c r="P1" s="9"/>
      <c r="Q1" s="9"/>
      <c r="R1" s="9"/>
      <c r="S1" s="9"/>
      <c r="T1" s="11"/>
      <c r="X1" t="s">
        <v>88</v>
      </c>
      <c r="AE1" t="s">
        <v>89</v>
      </c>
    </row>
    <row r="2" spans="1:34" x14ac:dyDescent="0.25">
      <c r="D2" s="10"/>
      <c r="E2" s="7"/>
      <c r="F2" s="7"/>
      <c r="G2" s="7"/>
      <c r="H2" s="7"/>
      <c r="I2" s="7" t="s">
        <v>98</v>
      </c>
      <c r="J2" s="7"/>
      <c r="K2" s="7"/>
      <c r="L2" s="7"/>
      <c r="M2" s="7"/>
      <c r="N2" s="7"/>
      <c r="O2" s="7"/>
      <c r="P2" s="7"/>
      <c r="Q2" s="7"/>
      <c r="R2" s="7"/>
      <c r="S2" s="7"/>
      <c r="T2" s="12"/>
    </row>
    <row r="3" spans="1:34" x14ac:dyDescent="0.25">
      <c r="A3" s="5" t="s">
        <v>69</v>
      </c>
      <c r="B3" s="5"/>
      <c r="D3" s="10"/>
      <c r="E3" s="7"/>
      <c r="F3" s="7"/>
      <c r="G3" s="7"/>
      <c r="H3" s="7"/>
      <c r="I3" s="7"/>
      <c r="J3" s="7"/>
      <c r="K3" s="7"/>
      <c r="L3" s="7"/>
      <c r="M3" s="7"/>
      <c r="N3" s="7"/>
      <c r="O3" s="7"/>
      <c r="P3" s="7"/>
      <c r="Q3" s="7"/>
      <c r="R3" s="7"/>
      <c r="S3" s="7"/>
      <c r="T3" s="12"/>
      <c r="U3" t="s">
        <v>74</v>
      </c>
      <c r="V3">
        <v>450</v>
      </c>
      <c r="AB3" t="s">
        <v>90</v>
      </c>
    </row>
    <row r="4" spans="1:34" x14ac:dyDescent="0.25">
      <c r="A4" s="5" t="s">
        <v>65</v>
      </c>
      <c r="B4" s="5">
        <v>5</v>
      </c>
      <c r="D4" s="10"/>
      <c r="E4" s="7"/>
      <c r="F4" s="7"/>
      <c r="G4" s="7"/>
      <c r="H4" s="7"/>
      <c r="I4" s="7"/>
      <c r="J4" s="7"/>
      <c r="K4" s="7"/>
      <c r="L4" s="7"/>
      <c r="M4" s="7"/>
      <c r="N4" s="7"/>
      <c r="O4" s="7"/>
      <c r="P4" s="7"/>
      <c r="Q4" s="7"/>
      <c r="R4" s="7"/>
      <c r="S4" s="7"/>
      <c r="T4" s="12"/>
      <c r="AB4" s="123" t="s">
        <v>91</v>
      </c>
      <c r="AC4" s="124"/>
      <c r="AD4" s="124"/>
      <c r="AE4" s="124"/>
      <c r="AF4" s="124"/>
      <c r="AG4" s="124"/>
      <c r="AH4" s="124"/>
    </row>
    <row r="5" spans="1:34" x14ac:dyDescent="0.25">
      <c r="A5" s="5" t="s">
        <v>60</v>
      </c>
      <c r="B5" s="5">
        <v>2.16</v>
      </c>
      <c r="D5" s="13"/>
      <c r="E5" s="14"/>
      <c r="F5" s="14"/>
      <c r="G5" s="14"/>
      <c r="H5" s="14"/>
      <c r="I5" s="14"/>
      <c r="J5" s="14"/>
      <c r="K5" s="14"/>
      <c r="L5" s="14"/>
      <c r="M5" s="14"/>
      <c r="N5" s="14"/>
      <c r="O5" s="14"/>
      <c r="P5" s="14"/>
      <c r="Q5" s="14"/>
      <c r="R5" s="14"/>
      <c r="S5" s="14"/>
      <c r="T5" s="15"/>
      <c r="AB5" s="124"/>
      <c r="AC5" s="124"/>
      <c r="AD5" s="124"/>
      <c r="AE5" s="124"/>
      <c r="AF5" s="124"/>
      <c r="AG5" s="124"/>
      <c r="AH5" s="124"/>
    </row>
    <row r="6" spans="1:34" x14ac:dyDescent="0.25">
      <c r="A6" s="5" t="s">
        <v>61</v>
      </c>
      <c r="B6" s="5">
        <v>2.21</v>
      </c>
      <c r="D6" s="13"/>
      <c r="E6" s="14"/>
      <c r="F6" s="14"/>
      <c r="G6" s="14"/>
      <c r="I6" s="14" t="s">
        <v>99</v>
      </c>
      <c r="J6" s="14"/>
      <c r="K6" s="14"/>
      <c r="L6" s="14"/>
      <c r="M6" s="14"/>
      <c r="N6" s="14"/>
      <c r="O6" s="14"/>
      <c r="P6" s="14"/>
      <c r="Q6" s="14"/>
      <c r="R6" s="14"/>
      <c r="S6" s="14"/>
      <c r="T6" s="15"/>
      <c r="U6" t="s">
        <v>75</v>
      </c>
      <c r="V6">
        <f>B4*B6*2+B5*B6</f>
        <v>26.873600000000003</v>
      </c>
      <c r="AB6" s="124"/>
      <c r="AC6" s="124"/>
      <c r="AD6" s="124"/>
      <c r="AE6" s="124"/>
      <c r="AF6" s="124"/>
      <c r="AG6" s="124"/>
      <c r="AH6" s="124"/>
    </row>
    <row r="7" spans="1:34" x14ac:dyDescent="0.25">
      <c r="A7" s="5" t="s">
        <v>62</v>
      </c>
      <c r="B7" s="5">
        <f>B4*B5*B6</f>
        <v>23.868000000000002</v>
      </c>
      <c r="D7" s="13"/>
      <c r="E7" s="14"/>
      <c r="F7" s="14"/>
      <c r="G7" s="14"/>
      <c r="H7" s="14"/>
      <c r="I7" s="14"/>
      <c r="J7" s="14"/>
      <c r="K7" s="14"/>
      <c r="L7" s="14"/>
      <c r="M7" s="14"/>
      <c r="N7" s="14"/>
      <c r="O7" s="14"/>
      <c r="P7" s="14"/>
      <c r="Q7" s="14"/>
      <c r="R7" s="14"/>
      <c r="S7" s="14"/>
      <c r="T7" s="15"/>
      <c r="U7" t="s">
        <v>77</v>
      </c>
      <c r="V7">
        <f>V6*V10</f>
        <v>9.7722181818181841</v>
      </c>
      <c r="AB7" s="124"/>
      <c r="AC7" s="124"/>
      <c r="AD7" s="124"/>
      <c r="AE7" s="124"/>
      <c r="AF7" s="124"/>
      <c r="AG7" s="124"/>
      <c r="AH7" s="124"/>
    </row>
    <row r="8" spans="1:34" x14ac:dyDescent="0.25">
      <c r="D8" s="13"/>
      <c r="E8" s="14"/>
      <c r="F8" s="14"/>
      <c r="G8" s="14"/>
      <c r="H8" s="14"/>
      <c r="I8" s="14"/>
      <c r="J8" s="14"/>
      <c r="K8" s="14"/>
      <c r="L8" s="14"/>
      <c r="M8" s="14"/>
      <c r="N8" s="14"/>
      <c r="O8" s="14"/>
      <c r="P8" s="14"/>
      <c r="Q8" s="14"/>
      <c r="R8" s="14"/>
      <c r="S8" s="14"/>
      <c r="T8" s="15"/>
      <c r="U8" t="s">
        <v>84</v>
      </c>
      <c r="V8">
        <v>2000</v>
      </c>
      <c r="AB8" s="124"/>
      <c r="AC8" s="124"/>
      <c r="AD8" s="124"/>
      <c r="AE8" s="124"/>
      <c r="AF8" s="124"/>
      <c r="AG8" s="124"/>
      <c r="AH8" s="124"/>
    </row>
    <row r="9" spans="1:34" x14ac:dyDescent="0.25">
      <c r="D9" s="20"/>
      <c r="E9" s="21"/>
      <c r="F9" s="21"/>
      <c r="G9" s="22"/>
      <c r="H9" s="5"/>
      <c r="I9" s="5"/>
      <c r="J9" s="5"/>
      <c r="K9" s="20"/>
      <c r="L9" s="22"/>
      <c r="M9" s="5"/>
      <c r="N9" s="5"/>
      <c r="O9" s="5"/>
      <c r="P9" s="5"/>
      <c r="Q9" s="20"/>
      <c r="R9" s="21"/>
      <c r="S9" s="21"/>
      <c r="T9" s="22"/>
      <c r="U9" s="7" t="s">
        <v>78</v>
      </c>
      <c r="V9" s="7"/>
      <c r="W9" s="7"/>
      <c r="AB9" s="124"/>
      <c r="AC9" s="124"/>
      <c r="AD9" s="124"/>
      <c r="AE9" s="124"/>
      <c r="AF9" s="124"/>
      <c r="AG9" s="124"/>
      <c r="AH9" s="124"/>
    </row>
    <row r="10" spans="1:34" x14ac:dyDescent="0.25">
      <c r="D10" s="23"/>
      <c r="E10" s="24"/>
      <c r="F10" s="24"/>
      <c r="G10" s="25"/>
      <c r="H10" s="5"/>
      <c r="I10" s="5"/>
      <c r="J10" s="5"/>
      <c r="K10" s="23"/>
      <c r="L10" s="25"/>
      <c r="M10" s="5"/>
      <c r="N10" s="5"/>
      <c r="O10" s="5"/>
      <c r="P10" s="5"/>
      <c r="Q10" s="23"/>
      <c r="R10" s="24"/>
      <c r="S10" s="24"/>
      <c r="T10" s="25"/>
      <c r="U10" s="7" t="s">
        <v>76</v>
      </c>
      <c r="V10" s="7">
        <f>4/11</f>
        <v>0.36363636363636365</v>
      </c>
      <c r="W10" s="7" t="s">
        <v>79</v>
      </c>
      <c r="AB10" s="124"/>
      <c r="AC10" s="124"/>
      <c r="AD10" s="124"/>
      <c r="AE10" s="124"/>
      <c r="AF10" s="124"/>
      <c r="AG10" s="124"/>
      <c r="AH10" s="124"/>
    </row>
    <row r="11" spans="1:34" x14ac:dyDescent="0.25">
      <c r="D11" s="23"/>
      <c r="E11" s="24"/>
      <c r="F11" s="24"/>
      <c r="G11" s="25"/>
      <c r="H11" s="5"/>
      <c r="I11" s="5"/>
      <c r="J11" s="5"/>
      <c r="K11" s="23"/>
      <c r="L11" s="25"/>
      <c r="M11" s="5"/>
      <c r="N11" s="5"/>
      <c r="O11" s="5"/>
      <c r="P11" s="5"/>
      <c r="Q11" s="23"/>
      <c r="R11" s="24"/>
      <c r="S11" s="24"/>
      <c r="T11" s="25"/>
      <c r="U11" t="s">
        <v>80</v>
      </c>
      <c r="V11">
        <f>40*3</f>
        <v>120</v>
      </c>
      <c r="AB11" s="124"/>
      <c r="AC11" s="124"/>
      <c r="AD11" s="124"/>
      <c r="AE11" s="124"/>
      <c r="AF11" s="124"/>
      <c r="AG11" s="124"/>
      <c r="AH11" s="124"/>
    </row>
    <row r="12" spans="1:34" x14ac:dyDescent="0.25">
      <c r="A12" s="7" t="s">
        <v>63</v>
      </c>
      <c r="B12" s="7"/>
      <c r="D12" s="23"/>
      <c r="E12" s="24"/>
      <c r="F12" s="24"/>
      <c r="G12" s="25"/>
      <c r="H12" s="5"/>
      <c r="I12" s="5"/>
      <c r="J12" s="5"/>
      <c r="K12" s="23"/>
      <c r="L12" s="25"/>
      <c r="M12" s="5"/>
      <c r="N12" s="5"/>
      <c r="O12" s="5"/>
      <c r="P12" s="5"/>
      <c r="Q12" s="23"/>
      <c r="R12" s="24"/>
      <c r="S12" s="24"/>
      <c r="T12" s="25"/>
      <c r="AB12" s="124"/>
      <c r="AC12" s="124"/>
      <c r="AD12" s="124"/>
      <c r="AE12" s="124"/>
      <c r="AF12" s="124"/>
      <c r="AG12" s="124"/>
      <c r="AH12" s="124"/>
    </row>
    <row r="13" spans="1:34" x14ac:dyDescent="0.25">
      <c r="A13" s="7" t="s">
        <v>64</v>
      </c>
      <c r="B13" s="7">
        <v>0.33</v>
      </c>
      <c r="D13" s="23"/>
      <c r="E13" s="24"/>
      <c r="F13" s="24"/>
      <c r="G13" s="25"/>
      <c r="H13" s="5"/>
      <c r="I13" s="5"/>
      <c r="J13" s="5"/>
      <c r="K13" s="23"/>
      <c r="L13" s="25"/>
      <c r="M13" s="5"/>
      <c r="N13" s="5"/>
      <c r="O13" s="5"/>
      <c r="P13" s="5"/>
      <c r="Q13" s="23"/>
      <c r="R13" s="24"/>
      <c r="S13" s="24"/>
      <c r="T13" s="25"/>
      <c r="U13" t="s">
        <v>81</v>
      </c>
      <c r="V13">
        <v>400</v>
      </c>
      <c r="AB13" s="124"/>
      <c r="AC13" s="124"/>
      <c r="AD13" s="124"/>
      <c r="AE13" s="124"/>
      <c r="AF13" s="124"/>
      <c r="AG13" s="124"/>
      <c r="AH13" s="124"/>
    </row>
    <row r="14" spans="1:34" x14ac:dyDescent="0.25">
      <c r="A14" s="7" t="s">
        <v>60</v>
      </c>
      <c r="B14" s="7">
        <f>0.75*3</f>
        <v>2.25</v>
      </c>
      <c r="C14">
        <f>B14*A$46/B$46</f>
        <v>9.0625</v>
      </c>
      <c r="D14" s="23"/>
      <c r="E14" s="24"/>
      <c r="F14" s="24"/>
      <c r="G14" s="25"/>
      <c r="H14" s="5"/>
      <c r="I14" s="5"/>
      <c r="J14" s="5"/>
      <c r="K14" s="23"/>
      <c r="L14" s="25"/>
      <c r="M14" s="5"/>
      <c r="N14" s="5"/>
      <c r="O14" s="5"/>
      <c r="P14" s="5"/>
      <c r="Q14" s="23"/>
      <c r="R14" s="24"/>
      <c r="S14" s="24"/>
      <c r="T14" s="25"/>
      <c r="U14" t="s">
        <v>82</v>
      </c>
      <c r="V14">
        <v>200</v>
      </c>
      <c r="AB14" s="124"/>
      <c r="AC14" s="124"/>
      <c r="AD14" s="124"/>
      <c r="AE14" s="124"/>
      <c r="AF14" s="124"/>
      <c r="AG14" s="124"/>
      <c r="AH14" s="124"/>
    </row>
    <row r="15" spans="1:34" x14ac:dyDescent="0.25">
      <c r="A15" s="7" t="s">
        <v>65</v>
      </c>
      <c r="B15" s="7">
        <v>0.5</v>
      </c>
      <c r="C15">
        <f>B15*A45/B45</f>
        <v>2.0138888888888884</v>
      </c>
      <c r="D15" s="26"/>
      <c r="E15" s="27"/>
      <c r="F15" s="27"/>
      <c r="G15" s="28"/>
      <c r="H15" s="5"/>
      <c r="I15" s="5"/>
      <c r="J15" s="5"/>
      <c r="K15" s="23"/>
      <c r="L15" s="25"/>
      <c r="M15" s="5"/>
      <c r="N15" s="5"/>
      <c r="O15" s="5"/>
      <c r="P15" s="5"/>
      <c r="Q15" s="26"/>
      <c r="R15" s="27"/>
      <c r="S15" s="27"/>
      <c r="T15" s="28"/>
      <c r="U15" t="s">
        <v>85</v>
      </c>
      <c r="V15">
        <f>V3*6</f>
        <v>2700</v>
      </c>
      <c r="Z15">
        <f>85*3</f>
        <v>255</v>
      </c>
      <c r="AB15" s="124"/>
      <c r="AC15" s="124"/>
      <c r="AD15" s="124"/>
      <c r="AE15" s="124"/>
      <c r="AF15" s="124"/>
      <c r="AG15" s="124"/>
      <c r="AH15" s="124"/>
    </row>
    <row r="16" spans="1:34" x14ac:dyDescent="0.25">
      <c r="D16" s="20"/>
      <c r="E16" s="21"/>
      <c r="F16" s="21"/>
      <c r="G16" s="22"/>
      <c r="H16" s="5"/>
      <c r="I16" s="5"/>
      <c r="J16" s="5"/>
      <c r="K16" s="23"/>
      <c r="L16" s="25"/>
      <c r="M16" s="5"/>
      <c r="N16" s="5"/>
      <c r="O16" s="5"/>
      <c r="P16" s="5"/>
      <c r="Q16" s="20"/>
      <c r="R16" s="21"/>
      <c r="S16" s="21"/>
      <c r="T16" s="22"/>
      <c r="U16" t="s">
        <v>83</v>
      </c>
      <c r="V16">
        <f>2*150</f>
        <v>300</v>
      </c>
      <c r="AB16" s="124"/>
      <c r="AC16" s="124"/>
      <c r="AD16" s="124"/>
      <c r="AE16" s="124"/>
      <c r="AF16" s="124"/>
      <c r="AG16" s="124"/>
      <c r="AH16" s="124"/>
    </row>
    <row r="17" spans="1:34" x14ac:dyDescent="0.25">
      <c r="A17" s="16" t="s">
        <v>66</v>
      </c>
      <c r="B17" s="16"/>
      <c r="D17" s="23"/>
      <c r="E17" s="24"/>
      <c r="F17" s="24"/>
      <c r="G17" s="25"/>
      <c r="H17" s="5"/>
      <c r="I17" s="5"/>
      <c r="J17" s="5"/>
      <c r="K17" s="23"/>
      <c r="L17" s="25"/>
      <c r="M17" s="5"/>
      <c r="N17" s="5"/>
      <c r="O17" s="5"/>
      <c r="P17" s="5"/>
      <c r="Q17" s="23"/>
      <c r="R17" s="24"/>
      <c r="S17" s="24"/>
      <c r="T17" s="25"/>
      <c r="AB17" s="124"/>
      <c r="AC17" s="124"/>
      <c r="AD17" s="124"/>
      <c r="AE17" s="124"/>
      <c r="AF17" s="124"/>
      <c r="AG17" s="124"/>
      <c r="AH17" s="124"/>
    </row>
    <row r="18" spans="1:34" x14ac:dyDescent="0.25">
      <c r="A18" s="16" t="s">
        <v>65</v>
      </c>
      <c r="B18" s="16">
        <v>1.05</v>
      </c>
      <c r="C18">
        <f>B18*(A46/B46)</f>
        <v>4.229166666666667</v>
      </c>
      <c r="D18" s="23"/>
      <c r="E18" s="24"/>
      <c r="F18" s="24"/>
      <c r="G18" s="25"/>
      <c r="H18" s="5"/>
      <c r="I18" s="5"/>
      <c r="J18" s="5"/>
      <c r="K18" s="23"/>
      <c r="L18" s="25"/>
      <c r="M18" s="5"/>
      <c r="N18" s="5"/>
      <c r="O18" s="5"/>
      <c r="P18" s="5"/>
      <c r="Q18" s="23"/>
      <c r="R18" s="24"/>
      <c r="S18" s="24"/>
      <c r="T18" s="25"/>
      <c r="AB18" s="124"/>
      <c r="AC18" s="124"/>
      <c r="AD18" s="124"/>
      <c r="AE18" s="124"/>
      <c r="AF18" s="124"/>
      <c r="AG18" s="124"/>
      <c r="AH18" s="124"/>
    </row>
    <row r="19" spans="1:34" x14ac:dyDescent="0.25">
      <c r="A19" s="16" t="s">
        <v>60</v>
      </c>
      <c r="B19" s="16">
        <v>0.64</v>
      </c>
      <c r="C19">
        <f>B19*(A45/B45)</f>
        <v>2.5777777777777771</v>
      </c>
      <c r="D19" s="23"/>
      <c r="E19" s="24"/>
      <c r="F19" s="24"/>
      <c r="G19" s="25"/>
      <c r="H19" s="5"/>
      <c r="I19" s="5"/>
      <c r="J19" s="5"/>
      <c r="K19" s="23"/>
      <c r="L19" s="25"/>
      <c r="M19" s="5"/>
      <c r="N19" s="5"/>
      <c r="O19" s="5"/>
      <c r="P19" s="5"/>
      <c r="Q19" s="23"/>
      <c r="R19" s="24"/>
      <c r="S19" s="24"/>
      <c r="T19" s="25"/>
      <c r="AB19" s="124"/>
      <c r="AC19" s="124"/>
      <c r="AD19" s="124"/>
      <c r="AE19" s="124"/>
      <c r="AF19" s="124"/>
      <c r="AG19" s="124"/>
      <c r="AH19" s="124"/>
    </row>
    <row r="20" spans="1:34" x14ac:dyDescent="0.25">
      <c r="A20" s="16" t="s">
        <v>61</v>
      </c>
      <c r="B20" s="16">
        <v>0.75</v>
      </c>
      <c r="D20" s="23"/>
      <c r="E20" s="24"/>
      <c r="F20" s="24"/>
      <c r="G20" s="25"/>
      <c r="H20" s="5"/>
      <c r="I20" s="5"/>
      <c r="J20" s="5"/>
      <c r="K20" s="23"/>
      <c r="L20" s="25"/>
      <c r="M20" s="5"/>
      <c r="N20" s="5"/>
      <c r="O20" s="5"/>
      <c r="P20" s="5"/>
      <c r="Q20" s="23"/>
      <c r="R20" s="24"/>
      <c r="S20" s="24"/>
      <c r="T20" s="25"/>
      <c r="U20" t="s">
        <v>86</v>
      </c>
      <c r="V20">
        <f>SUM(V8,V11,V13,V14,V15,V16)</f>
        <v>5720</v>
      </c>
      <c r="AB20" s="124"/>
      <c r="AC20" s="124"/>
      <c r="AD20" s="124"/>
      <c r="AE20" s="124"/>
      <c r="AF20" s="124"/>
      <c r="AG20" s="124"/>
      <c r="AH20" s="124"/>
    </row>
    <row r="21" spans="1:34" x14ac:dyDescent="0.25">
      <c r="D21" s="23"/>
      <c r="E21" s="24"/>
      <c r="F21" s="24"/>
      <c r="G21" s="25"/>
      <c r="H21" s="5"/>
      <c r="I21" s="5"/>
      <c r="J21" s="5"/>
      <c r="K21" s="23"/>
      <c r="L21" s="25"/>
      <c r="M21" s="5"/>
      <c r="N21" s="5"/>
      <c r="O21" s="5"/>
      <c r="P21" s="5"/>
      <c r="Q21" s="23"/>
      <c r="R21" s="24"/>
      <c r="S21" s="24"/>
      <c r="T21" s="25"/>
      <c r="U21" t="s">
        <v>87</v>
      </c>
      <c r="V21">
        <f>SUM(V8,V11,V13,V14,V15*10/6,V16)</f>
        <v>7520</v>
      </c>
      <c r="AB21" s="124"/>
      <c r="AC21" s="124"/>
      <c r="AD21" s="124"/>
      <c r="AE21" s="124"/>
      <c r="AF21" s="124"/>
      <c r="AG21" s="124"/>
      <c r="AH21" s="124"/>
    </row>
    <row r="22" spans="1:34" x14ac:dyDescent="0.25">
      <c r="A22" t="s">
        <v>67</v>
      </c>
      <c r="D22" s="26"/>
      <c r="E22" s="27"/>
      <c r="F22" s="27"/>
      <c r="G22" s="28"/>
      <c r="H22" s="5"/>
      <c r="I22" s="5"/>
      <c r="J22" s="5"/>
      <c r="K22" s="26"/>
      <c r="L22" s="28"/>
      <c r="M22" s="5"/>
      <c r="N22" s="5"/>
      <c r="O22" s="5"/>
      <c r="P22" s="5"/>
      <c r="Q22" s="26"/>
      <c r="R22" s="27"/>
      <c r="S22" s="27"/>
      <c r="T22" s="28"/>
      <c r="AB22" s="124"/>
      <c r="AC22" s="124"/>
      <c r="AD22" s="124"/>
      <c r="AE22" s="124"/>
      <c r="AF22" s="124"/>
      <c r="AG22" s="124"/>
      <c r="AH22" s="124"/>
    </row>
    <row r="23" spans="1:34" x14ac:dyDescent="0.25">
      <c r="A23" t="s">
        <v>64</v>
      </c>
      <c r="B23">
        <v>0.5</v>
      </c>
      <c r="D23" s="20"/>
      <c r="E23" s="21"/>
      <c r="F23" s="21"/>
      <c r="G23" s="22"/>
      <c r="H23" s="5"/>
      <c r="I23" s="5"/>
      <c r="J23" s="5"/>
      <c r="K23" s="5"/>
      <c r="L23" s="5"/>
      <c r="M23" s="5"/>
      <c r="N23" s="5"/>
      <c r="O23" s="5"/>
      <c r="P23" s="5"/>
      <c r="Q23" s="20"/>
      <c r="R23" s="21"/>
      <c r="S23" s="21"/>
      <c r="T23" s="22"/>
      <c r="AB23" s="124"/>
      <c r="AC23" s="124"/>
      <c r="AD23" s="124"/>
      <c r="AE23" s="124"/>
      <c r="AF23" s="124"/>
      <c r="AG23" s="124"/>
      <c r="AH23" s="124"/>
    </row>
    <row r="24" spans="1:34" x14ac:dyDescent="0.25">
      <c r="A24" t="s">
        <v>60</v>
      </c>
      <c r="B24">
        <v>0.3</v>
      </c>
      <c r="D24" s="23"/>
      <c r="E24" s="24"/>
      <c r="F24" s="24"/>
      <c r="G24" s="25"/>
      <c r="H24" s="5"/>
      <c r="I24" s="5"/>
      <c r="J24" s="5"/>
      <c r="K24" s="5"/>
      <c r="L24" s="5"/>
      <c r="M24" s="5"/>
      <c r="N24" s="5"/>
      <c r="O24" s="5"/>
      <c r="P24" s="5"/>
      <c r="Q24" s="23"/>
      <c r="R24" s="24"/>
      <c r="S24" s="24"/>
      <c r="T24" s="25"/>
      <c r="AB24" s="124"/>
      <c r="AC24" s="124"/>
      <c r="AD24" s="124"/>
      <c r="AE24" s="124"/>
      <c r="AF24" s="124"/>
      <c r="AG24" s="124"/>
      <c r="AH24" s="124"/>
    </row>
    <row r="25" spans="1:34" x14ac:dyDescent="0.25">
      <c r="A25" t="s">
        <v>65</v>
      </c>
      <c r="B25">
        <v>0.5</v>
      </c>
      <c r="D25" s="23"/>
      <c r="E25" s="24"/>
      <c r="F25" s="24"/>
      <c r="G25" s="25"/>
      <c r="H25" s="5"/>
      <c r="I25" s="5"/>
      <c r="J25" s="5"/>
      <c r="K25" s="5"/>
      <c r="L25" s="5"/>
      <c r="M25" s="5"/>
      <c r="N25" s="5"/>
      <c r="O25" s="5"/>
      <c r="P25" s="5"/>
      <c r="Q25" s="23"/>
      <c r="R25" s="24"/>
      <c r="S25" s="24"/>
      <c r="T25" s="25"/>
      <c r="AB25" s="124"/>
      <c r="AC25" s="124"/>
      <c r="AD25" s="124"/>
      <c r="AE25" s="124"/>
      <c r="AF25" s="124"/>
      <c r="AG25" s="124"/>
      <c r="AH25" s="124"/>
    </row>
    <row r="26" spans="1:34" x14ac:dyDescent="0.25">
      <c r="A26" t="s">
        <v>68</v>
      </c>
      <c r="B26">
        <v>1.29</v>
      </c>
      <c r="D26" s="23"/>
      <c r="E26" s="24"/>
      <c r="F26" s="24"/>
      <c r="G26" s="25"/>
      <c r="H26" s="5"/>
      <c r="I26" s="5"/>
      <c r="J26" s="5"/>
      <c r="K26" s="5"/>
      <c r="L26" s="5"/>
      <c r="M26" s="5"/>
      <c r="N26" s="5"/>
      <c r="O26" s="5"/>
      <c r="P26" s="5"/>
      <c r="Q26" s="23"/>
      <c r="R26" s="24"/>
      <c r="S26" s="24"/>
      <c r="T26" s="25"/>
      <c r="U26" t="s">
        <v>92</v>
      </c>
      <c r="AB26" s="124"/>
      <c r="AC26" s="124"/>
      <c r="AD26" s="124"/>
      <c r="AE26" s="124"/>
      <c r="AF26" s="124"/>
      <c r="AG26" s="124"/>
      <c r="AH26" s="124"/>
    </row>
    <row r="27" spans="1:34" x14ac:dyDescent="0.25">
      <c r="D27" s="23"/>
      <c r="E27" s="24"/>
      <c r="F27" s="24"/>
      <c r="G27" s="25"/>
      <c r="H27" s="5"/>
      <c r="I27" s="5"/>
      <c r="J27" s="5"/>
      <c r="K27" s="5"/>
      <c r="L27" s="5"/>
      <c r="M27" s="5"/>
      <c r="N27" s="5"/>
      <c r="O27" s="5"/>
      <c r="P27" s="5"/>
      <c r="Q27" s="23"/>
      <c r="R27" s="24"/>
      <c r="S27" s="24"/>
      <c r="T27" s="25"/>
      <c r="AB27" s="124"/>
      <c r="AC27" s="124"/>
      <c r="AD27" s="124"/>
      <c r="AE27" s="124"/>
      <c r="AF27" s="124"/>
      <c r="AG27" s="124"/>
      <c r="AH27" s="124"/>
    </row>
    <row r="28" spans="1:34" x14ac:dyDescent="0.25">
      <c r="A28" t="s">
        <v>100</v>
      </c>
      <c r="D28" s="23"/>
      <c r="E28" s="24"/>
      <c r="F28" s="24"/>
      <c r="G28" s="25"/>
      <c r="H28" s="5"/>
      <c r="I28" s="5"/>
      <c r="J28" s="5"/>
      <c r="K28" s="5"/>
      <c r="L28" s="5"/>
      <c r="M28" s="5"/>
      <c r="N28" s="5"/>
      <c r="O28" s="5"/>
      <c r="P28" s="5"/>
      <c r="Q28" s="23"/>
      <c r="R28" s="24"/>
      <c r="S28" s="24"/>
      <c r="T28" s="25"/>
      <c r="AB28" s="124"/>
      <c r="AC28" s="124"/>
      <c r="AD28" s="124"/>
      <c r="AE28" s="124"/>
      <c r="AF28" s="124"/>
      <c r="AG28" s="124"/>
      <c r="AH28" s="124"/>
    </row>
    <row r="29" spans="1:34" x14ac:dyDescent="0.25">
      <c r="A29" t="s">
        <v>64</v>
      </c>
      <c r="D29" s="26"/>
      <c r="E29" s="27"/>
      <c r="F29" s="27"/>
      <c r="G29" s="28"/>
      <c r="H29" s="5"/>
      <c r="I29" s="5"/>
      <c r="J29" s="5"/>
      <c r="K29" s="5"/>
      <c r="L29" s="5"/>
      <c r="M29" s="5"/>
      <c r="N29" s="5"/>
      <c r="O29" s="5"/>
      <c r="P29" s="5"/>
      <c r="Q29" s="26"/>
      <c r="R29" s="27"/>
      <c r="S29" s="27"/>
      <c r="T29" s="28"/>
      <c r="AB29" s="124"/>
      <c r="AC29" s="124"/>
      <c r="AD29" s="124"/>
      <c r="AE29" s="124"/>
      <c r="AF29" s="124"/>
      <c r="AG29" s="124"/>
      <c r="AH29" s="124"/>
    </row>
    <row r="30" spans="1:34" x14ac:dyDescent="0.25">
      <c r="A30" t="s">
        <v>60</v>
      </c>
      <c r="B30">
        <v>0.3</v>
      </c>
      <c r="C30">
        <f>B30*(A45/B45)</f>
        <v>1.208333333333333</v>
      </c>
      <c r="D30" s="23"/>
      <c r="E30" s="24"/>
      <c r="F30" s="24"/>
      <c r="G30" s="25"/>
      <c r="H30" s="5"/>
      <c r="I30" s="5"/>
      <c r="J30" s="5"/>
      <c r="K30" s="5"/>
      <c r="L30" s="5"/>
      <c r="M30" s="5"/>
      <c r="N30" s="5"/>
      <c r="O30" s="5"/>
      <c r="P30" s="5"/>
      <c r="Q30" s="5"/>
      <c r="R30" s="5"/>
      <c r="S30" s="5"/>
      <c r="T30" s="5"/>
      <c r="V30" t="s">
        <v>93</v>
      </c>
      <c r="W30" t="s">
        <v>94</v>
      </c>
      <c r="X30" t="s">
        <v>61</v>
      </c>
      <c r="Y30" t="s">
        <v>95</v>
      </c>
      <c r="Z30" t="s">
        <v>96</v>
      </c>
      <c r="AA30" t="s">
        <v>97</v>
      </c>
      <c r="AB30" s="124"/>
      <c r="AC30" s="124"/>
      <c r="AD30" s="124"/>
      <c r="AE30" s="124"/>
      <c r="AF30" s="124"/>
      <c r="AG30" s="124"/>
      <c r="AH30" s="124"/>
    </row>
    <row r="31" spans="1:34" x14ac:dyDescent="0.25">
      <c r="A31" t="s">
        <v>65</v>
      </c>
      <c r="B31">
        <v>0.85</v>
      </c>
      <c r="C31">
        <f>B31*(A46/B46)</f>
        <v>3.4236111111111107</v>
      </c>
      <c r="D31" s="23"/>
      <c r="E31" s="24"/>
      <c r="F31" s="24"/>
      <c r="G31" s="25"/>
      <c r="H31" s="5"/>
      <c r="I31" s="5"/>
      <c r="J31" s="5"/>
      <c r="K31" s="5"/>
      <c r="L31" s="5"/>
      <c r="M31" s="5"/>
      <c r="N31" s="5"/>
      <c r="O31" s="16"/>
      <c r="P31" s="16"/>
      <c r="Q31" s="16"/>
      <c r="R31" s="16"/>
      <c r="S31" s="16"/>
      <c r="T31" s="17"/>
      <c r="V31">
        <v>0.85</v>
      </c>
      <c r="W31">
        <v>0.2</v>
      </c>
      <c r="X31">
        <v>2</v>
      </c>
      <c r="Y31">
        <v>5</v>
      </c>
      <c r="AA31">
        <f>X31/Y31</f>
        <v>0.4</v>
      </c>
      <c r="AB31" s="124"/>
      <c r="AC31" s="124"/>
      <c r="AD31" s="124"/>
      <c r="AE31" s="124"/>
      <c r="AF31" s="124"/>
      <c r="AG31" s="124"/>
      <c r="AH31" s="124"/>
    </row>
    <row r="32" spans="1:34" x14ac:dyDescent="0.25">
      <c r="A32" t="s">
        <v>68</v>
      </c>
      <c r="B32">
        <v>2</v>
      </c>
      <c r="D32" s="23"/>
      <c r="E32" s="24"/>
      <c r="F32" s="24"/>
      <c r="G32" s="25"/>
      <c r="H32" s="5"/>
      <c r="I32" s="5"/>
      <c r="J32" s="5"/>
      <c r="K32" s="5"/>
      <c r="L32" s="5"/>
      <c r="M32" s="5"/>
      <c r="N32" s="5"/>
      <c r="O32" s="16"/>
      <c r="P32" s="16"/>
      <c r="Q32" s="16"/>
      <c r="R32" s="16"/>
      <c r="S32" s="16"/>
      <c r="T32" s="17"/>
      <c r="AB32" s="124"/>
      <c r="AC32" s="124"/>
      <c r="AD32" s="124"/>
      <c r="AE32" s="124"/>
      <c r="AF32" s="124"/>
      <c r="AG32" s="124"/>
      <c r="AH32" s="124"/>
    </row>
    <row r="33" spans="1:34" x14ac:dyDescent="0.25">
      <c r="A33" t="s">
        <v>62</v>
      </c>
      <c r="B33">
        <f>B30*B31*B32</f>
        <v>0.51</v>
      </c>
      <c r="D33" s="23"/>
      <c r="E33" s="24"/>
      <c r="F33" s="24"/>
      <c r="G33" s="25"/>
      <c r="H33" s="5"/>
      <c r="I33" s="5"/>
      <c r="J33" s="5"/>
      <c r="K33" s="5"/>
      <c r="L33" s="5"/>
      <c r="M33" s="5"/>
      <c r="N33" s="5"/>
      <c r="O33" s="16"/>
      <c r="P33" s="16"/>
      <c r="Q33" s="16"/>
      <c r="R33" s="16"/>
      <c r="S33" s="16"/>
      <c r="T33" s="17"/>
      <c r="AB33" s="124"/>
      <c r="AC33" s="124"/>
      <c r="AD33" s="124"/>
      <c r="AE33" s="124"/>
      <c r="AF33" s="124"/>
      <c r="AG33" s="124"/>
      <c r="AH33" s="124"/>
    </row>
    <row r="34" spans="1:34" x14ac:dyDescent="0.25">
      <c r="A34" t="s">
        <v>108</v>
      </c>
      <c r="B34">
        <f>B33*1000</f>
        <v>510</v>
      </c>
      <c r="D34" s="23"/>
      <c r="E34" s="24"/>
      <c r="F34" s="24"/>
      <c r="G34" s="25"/>
      <c r="H34" s="5"/>
      <c r="I34" s="5"/>
      <c r="J34" s="5"/>
      <c r="K34" s="5"/>
      <c r="L34" s="5"/>
      <c r="M34" s="5"/>
      <c r="N34" s="5"/>
      <c r="O34" s="16"/>
      <c r="P34" s="16"/>
      <c r="Q34" s="16"/>
      <c r="R34" s="16"/>
      <c r="S34" s="16"/>
      <c r="T34" s="17"/>
      <c r="AB34" s="124"/>
      <c r="AC34" s="124"/>
      <c r="AD34" s="124"/>
      <c r="AE34" s="124"/>
      <c r="AF34" s="124"/>
      <c r="AG34" s="124"/>
      <c r="AH34" s="124"/>
    </row>
    <row r="35" spans="1:34" x14ac:dyDescent="0.25">
      <c r="D35" s="26"/>
      <c r="E35" s="27"/>
      <c r="F35" s="27"/>
      <c r="G35" s="28"/>
      <c r="H35" s="5"/>
      <c r="I35" s="5"/>
      <c r="J35" s="5"/>
      <c r="K35" s="5"/>
      <c r="L35" s="5"/>
      <c r="M35" s="5"/>
      <c r="N35" s="5"/>
      <c r="O35" s="16"/>
      <c r="P35" s="16"/>
      <c r="Q35" s="16"/>
      <c r="R35" s="16"/>
      <c r="S35" s="16"/>
      <c r="T35" s="17"/>
      <c r="AB35" s="124"/>
      <c r="AC35" s="124"/>
      <c r="AD35" s="124"/>
      <c r="AE35" s="124"/>
      <c r="AF35" s="124"/>
      <c r="AG35" s="124"/>
      <c r="AH35" s="124"/>
    </row>
    <row r="36" spans="1:34" x14ac:dyDescent="0.25">
      <c r="D36" s="5"/>
      <c r="E36" s="5"/>
      <c r="F36" s="5"/>
      <c r="G36" s="5"/>
      <c r="H36" s="5"/>
      <c r="I36" s="5"/>
      <c r="J36" s="5"/>
      <c r="K36" s="5"/>
      <c r="L36" s="5"/>
      <c r="M36" s="5"/>
      <c r="N36" s="5"/>
      <c r="O36" s="16"/>
      <c r="P36" s="16"/>
      <c r="Q36" s="16"/>
      <c r="R36" s="16"/>
      <c r="S36" s="16"/>
      <c r="T36" s="17"/>
      <c r="AB36" s="124"/>
      <c r="AC36" s="124"/>
      <c r="AD36" s="124"/>
      <c r="AE36" s="124"/>
      <c r="AF36" s="124"/>
      <c r="AG36" s="124"/>
      <c r="AH36" s="124"/>
    </row>
    <row r="37" spans="1:34" x14ac:dyDescent="0.25">
      <c r="A37">
        <f>216-90</f>
        <v>126</v>
      </c>
      <c r="D37" s="5"/>
      <c r="E37" s="5"/>
      <c r="F37" s="5"/>
      <c r="G37" s="5"/>
      <c r="H37" s="5"/>
      <c r="I37" s="5"/>
      <c r="J37" s="5"/>
      <c r="K37" s="5"/>
      <c r="L37" s="5"/>
      <c r="M37" s="5"/>
      <c r="N37" s="5"/>
      <c r="O37" s="16"/>
      <c r="P37" s="16"/>
      <c r="Q37" s="16"/>
      <c r="R37" s="16"/>
      <c r="S37" s="16"/>
      <c r="T37" s="17"/>
      <c r="AB37" s="124"/>
      <c r="AC37" s="124"/>
      <c r="AD37" s="124"/>
      <c r="AE37" s="124"/>
      <c r="AF37" s="124"/>
      <c r="AG37" s="124"/>
      <c r="AH37" s="124"/>
    </row>
    <row r="38" spans="1:34" x14ac:dyDescent="0.25">
      <c r="D38" s="5"/>
      <c r="E38" s="5"/>
      <c r="F38" s="5"/>
      <c r="G38" s="5"/>
      <c r="H38" s="5"/>
      <c r="I38" s="5"/>
      <c r="J38" s="5"/>
      <c r="K38" s="5"/>
      <c r="L38" s="5"/>
      <c r="M38" s="5"/>
      <c r="N38" s="5"/>
      <c r="O38" s="16"/>
      <c r="P38" s="16"/>
      <c r="Q38" s="16"/>
      <c r="R38" s="16"/>
      <c r="S38" s="16"/>
      <c r="T38" s="17"/>
      <c r="AB38" s="124"/>
      <c r="AC38" s="124"/>
      <c r="AD38" s="124"/>
      <c r="AE38" s="124"/>
      <c r="AF38" s="124"/>
      <c r="AG38" s="124"/>
      <c r="AH38" s="124"/>
    </row>
    <row r="39" spans="1:34" x14ac:dyDescent="0.25">
      <c r="D39" s="5"/>
      <c r="E39" s="5"/>
      <c r="F39" s="5"/>
      <c r="G39" s="5"/>
      <c r="H39" s="6"/>
      <c r="I39" s="6"/>
      <c r="J39" s="6"/>
      <c r="K39" s="6"/>
      <c r="L39" s="6"/>
      <c r="M39" s="6"/>
      <c r="N39" s="6"/>
      <c r="O39" s="18"/>
      <c r="P39" s="18"/>
      <c r="Q39" s="18"/>
      <c r="R39" s="18"/>
      <c r="S39" s="18"/>
      <c r="T39" s="19"/>
      <c r="AB39" s="124"/>
      <c r="AC39" s="124"/>
      <c r="AD39" s="124"/>
      <c r="AE39" s="124"/>
      <c r="AF39" s="124"/>
      <c r="AG39" s="124"/>
      <c r="AH39" s="124"/>
    </row>
    <row r="40" spans="1:34" x14ac:dyDescent="0.25">
      <c r="AB40" s="124"/>
      <c r="AC40" s="124"/>
      <c r="AD40" s="124"/>
      <c r="AE40" s="124"/>
      <c r="AF40" s="124"/>
      <c r="AG40" s="124"/>
      <c r="AH40" s="124"/>
    </row>
    <row r="41" spans="1:34" x14ac:dyDescent="0.25">
      <c r="AB41" s="124"/>
      <c r="AC41" s="124"/>
      <c r="AD41" s="124"/>
      <c r="AE41" s="124"/>
      <c r="AF41" s="124"/>
      <c r="AG41" s="124"/>
      <c r="AH41" s="124"/>
    </row>
    <row r="42" spans="1:34" x14ac:dyDescent="0.25">
      <c r="AB42" s="124"/>
      <c r="AC42" s="124"/>
      <c r="AD42" s="124"/>
      <c r="AE42" s="124"/>
      <c r="AF42" s="124"/>
      <c r="AG42" s="124"/>
      <c r="AH42" s="124"/>
    </row>
    <row r="43" spans="1:34" x14ac:dyDescent="0.25">
      <c r="A43">
        <v>15.5</v>
      </c>
      <c r="AB43" s="124"/>
      <c r="AC43" s="124"/>
      <c r="AD43" s="124"/>
      <c r="AE43" s="124"/>
      <c r="AF43" s="124"/>
      <c r="AG43" s="124"/>
      <c r="AH43" s="124"/>
    </row>
    <row r="44" spans="1:34" x14ac:dyDescent="0.25">
      <c r="A44">
        <v>6.8</v>
      </c>
      <c r="AB44" s="124"/>
      <c r="AC44" s="124"/>
      <c r="AD44" s="124"/>
      <c r="AE44" s="124"/>
      <c r="AF44" s="124"/>
      <c r="AG44" s="124"/>
      <c r="AH44" s="124"/>
    </row>
    <row r="45" spans="1:34" x14ac:dyDescent="0.25">
      <c r="A45">
        <f>A43-A44</f>
        <v>8.6999999999999993</v>
      </c>
      <c r="B45">
        <v>2.16</v>
      </c>
      <c r="AB45" s="124"/>
      <c r="AC45" s="124"/>
      <c r="AD45" s="124"/>
      <c r="AE45" s="124"/>
      <c r="AF45" s="124"/>
      <c r="AG45" s="124"/>
      <c r="AH45" s="124"/>
    </row>
    <row r="46" spans="1:34" x14ac:dyDescent="0.25">
      <c r="A46">
        <f>A$45*B46/B$45</f>
        <v>20.138888888888889</v>
      </c>
      <c r="B46">
        <v>5</v>
      </c>
      <c r="AB46" s="124"/>
      <c r="AC46" s="124"/>
      <c r="AD46" s="124"/>
      <c r="AE46" s="124"/>
      <c r="AF46" s="124"/>
      <c r="AG46" s="124"/>
      <c r="AH46" s="124"/>
    </row>
    <row r="47" spans="1:34" x14ac:dyDescent="0.25">
      <c r="A47">
        <f>A$45*B47/B$45</f>
        <v>8.9013888888888868</v>
      </c>
      <c r="B47">
        <v>2.21</v>
      </c>
      <c r="AB47" s="124"/>
      <c r="AC47" s="124"/>
      <c r="AD47" s="124"/>
      <c r="AE47" s="124"/>
      <c r="AF47" s="124"/>
      <c r="AG47" s="124"/>
      <c r="AH47" s="124"/>
    </row>
  </sheetData>
  <mergeCells count="1">
    <mergeCell ref="AB4:AH47"/>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61831-D2C7-4A11-966D-4F0095129854}">
  <sheetPr codeName="Hoja7"/>
  <dimension ref="A2:B13"/>
  <sheetViews>
    <sheetView workbookViewId="0">
      <selection activeCell="A14" sqref="A14"/>
    </sheetView>
  </sheetViews>
  <sheetFormatPr baseColWidth="10" defaultRowHeight="15" x14ac:dyDescent="0.25"/>
  <sheetData>
    <row r="2" spans="1:2" x14ac:dyDescent="0.25">
      <c r="A2" t="s">
        <v>163</v>
      </c>
    </row>
    <row r="3" spans="1:2" x14ac:dyDescent="0.25">
      <c r="B3" t="s">
        <v>164</v>
      </c>
    </row>
    <row r="4" spans="1:2" x14ac:dyDescent="0.25">
      <c r="B4" t="s">
        <v>165</v>
      </c>
    </row>
    <row r="5" spans="1:2" x14ac:dyDescent="0.25">
      <c r="B5" t="s">
        <v>166</v>
      </c>
    </row>
    <row r="6" spans="1:2" x14ac:dyDescent="0.25">
      <c r="B6" t="s">
        <v>167</v>
      </c>
    </row>
    <row r="7" spans="1:2" x14ac:dyDescent="0.25">
      <c r="B7" t="s">
        <v>171</v>
      </c>
    </row>
    <row r="8" spans="1:2" x14ac:dyDescent="0.25">
      <c r="A8" t="s">
        <v>168</v>
      </c>
    </row>
    <row r="9" spans="1:2" x14ac:dyDescent="0.25">
      <c r="B9" t="s">
        <v>169</v>
      </c>
    </row>
    <row r="10" spans="1:2" x14ac:dyDescent="0.25">
      <c r="B10" t="s">
        <v>170</v>
      </c>
    </row>
    <row r="13" spans="1:2" x14ac:dyDescent="0.25">
      <c r="A13" t="s">
        <v>172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CORTE</vt:lpstr>
      <vt:lpstr>Clientes</vt:lpstr>
      <vt:lpstr>Base Pedidito</vt:lpstr>
      <vt:lpstr>Panel de control</vt:lpstr>
      <vt:lpstr>Costco</vt:lpstr>
      <vt:lpstr>RESUMEN DE MES HISTORIAL</vt:lpstr>
      <vt:lpstr>Productos</vt:lpstr>
      <vt:lpstr>Proveedores</vt:lpstr>
      <vt:lpstr>Beneficios </vt:lpstr>
      <vt:lpstr>Almacen</vt:lpstr>
      <vt:lpstr>Control de Documentos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MOISES VALDEZ</cp:lastModifiedBy>
  <dcterms:created xsi:type="dcterms:W3CDTF">2024-12-14T19:32:21Z</dcterms:created>
  <dcterms:modified xsi:type="dcterms:W3CDTF">2025-05-12T02:03:00Z</dcterms:modified>
</cp:coreProperties>
</file>